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hintermannweberch-my.sharepoint.com/personal/plattner_hintermannweber_ch/Documents/Schreibtisch Pl/Projekte Pl/2000 BDM 2025 (Za)/A44 SA/SA 2025/Publikation Tagfalter-Index/2025-07-07 Stand Analysen/"/>
    </mc:Choice>
  </mc:AlternateContent>
  <xr:revisionPtr revIDLastSave="50" documentId="8_{DACA2115-20FC-4E44-8227-1E5F84D3963A}" xr6:coauthVersionLast="47" xr6:coauthVersionMax="47" xr10:uidLastSave="{DADD18AF-E138-664F-A661-D73AB5A7852A}"/>
  <bookViews>
    <workbookView xWindow="0" yWindow="500" windowWidth="39940" windowHeight="21640" xr2:uid="{00000000-000D-0000-FFFF-FFFF00000000}"/>
  </bookViews>
  <sheets>
    <sheet name="Sheet 1" sheetId="1" r:id="rId1"/>
  </sheets>
  <definedNames>
    <definedName name="_xlnm._FilterDatabase" localSheetId="0" hidden="1">'Sheet 1'!$A$1:$P$196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3" i="1" l="1"/>
  <c r="P15" i="1"/>
  <c r="P160" i="1"/>
  <c r="P117" i="1"/>
  <c r="P47" i="1"/>
  <c r="P180" i="1"/>
  <c r="P137" i="1"/>
  <c r="P161" i="1"/>
  <c r="P181" i="1"/>
  <c r="P2" i="1"/>
  <c r="P50" i="1"/>
  <c r="P118" i="1"/>
  <c r="P102" i="1"/>
  <c r="P18" i="1"/>
  <c r="P141" i="1"/>
  <c r="P134" i="1"/>
  <c r="P99" i="1"/>
  <c r="P22" i="1"/>
  <c r="P136" i="1"/>
  <c r="P151" i="1"/>
  <c r="P53" i="1"/>
  <c r="P100" i="1"/>
  <c r="P7" i="1"/>
  <c r="P49" i="1"/>
  <c r="P12" i="1"/>
  <c r="P16" i="1"/>
  <c r="P10" i="1"/>
  <c r="P63" i="1"/>
  <c r="P25" i="1"/>
  <c r="P55" i="1"/>
  <c r="P154" i="1"/>
  <c r="P120" i="1"/>
  <c r="P86" i="1"/>
  <c r="P30" i="1"/>
  <c r="P9" i="1"/>
  <c r="P60" i="1"/>
  <c r="P179" i="1"/>
  <c r="P19" i="1"/>
  <c r="P45" i="1"/>
  <c r="P186" i="1"/>
  <c r="P34" i="1"/>
  <c r="P79" i="1"/>
  <c r="P31" i="1"/>
  <c r="P66" i="1"/>
  <c r="P21" i="1"/>
  <c r="P78" i="1"/>
  <c r="P93" i="1"/>
  <c r="P96" i="1"/>
  <c r="P124" i="1"/>
  <c r="P20" i="1"/>
  <c r="P193" i="1"/>
  <c r="P167" i="1"/>
  <c r="P52" i="1"/>
  <c r="P23" i="1"/>
  <c r="P37" i="1"/>
  <c r="P112" i="1"/>
  <c r="P153" i="1"/>
  <c r="P42" i="1"/>
  <c r="P8" i="1"/>
  <c r="P104" i="1"/>
  <c r="P114" i="1"/>
  <c r="P101" i="1"/>
  <c r="P111" i="1"/>
  <c r="P138" i="1"/>
  <c r="P187" i="1"/>
  <c r="P58" i="1"/>
  <c r="P32" i="1"/>
  <c r="P6" i="1"/>
  <c r="P35" i="1"/>
  <c r="P69" i="1"/>
  <c r="P64" i="1"/>
  <c r="P26" i="1"/>
  <c r="P71" i="1"/>
  <c r="P62" i="1"/>
  <c r="P41" i="1"/>
  <c r="P72" i="1"/>
  <c r="P70" i="1"/>
  <c r="P51" i="1"/>
  <c r="P81" i="1"/>
  <c r="P191" i="1"/>
  <c r="P184" i="1"/>
  <c r="P176" i="1"/>
  <c r="P14" i="1"/>
  <c r="P188" i="1"/>
  <c r="P74" i="1"/>
  <c r="P29" i="1"/>
  <c r="P5" i="1"/>
  <c r="P147" i="1"/>
  <c r="P146" i="1"/>
  <c r="P67" i="1"/>
  <c r="P149" i="1"/>
  <c r="P163" i="1"/>
  <c r="P56" i="1"/>
  <c r="P65" i="1"/>
  <c r="P158" i="1"/>
  <c r="P85" i="1"/>
  <c r="P4" i="1"/>
  <c r="P73" i="1"/>
  <c r="P38" i="1"/>
  <c r="P140" i="1"/>
  <c r="P155" i="1"/>
  <c r="P144" i="1"/>
  <c r="P129" i="1"/>
  <c r="P68" i="1"/>
  <c r="P132" i="1"/>
  <c r="P13" i="1"/>
  <c r="P148" i="1"/>
  <c r="P3" i="1"/>
  <c r="P157" i="1"/>
  <c r="P127" i="1"/>
  <c r="P33" i="1"/>
  <c r="P135" i="1"/>
  <c r="P82" i="1"/>
  <c r="P95" i="1"/>
  <c r="P174" i="1"/>
  <c r="P125" i="1"/>
  <c r="P128" i="1"/>
  <c r="P44" i="1"/>
  <c r="P59" i="1"/>
  <c r="P90" i="1"/>
  <c r="P92" i="1"/>
  <c r="P173" i="1"/>
  <c r="P162" i="1"/>
  <c r="P195" i="1"/>
  <c r="P126" i="1"/>
  <c r="P108" i="1"/>
  <c r="P133" i="1"/>
  <c r="P122" i="1"/>
  <c r="P11" i="1"/>
  <c r="P139" i="1"/>
  <c r="P88" i="1"/>
  <c r="P83" i="1"/>
  <c r="P57" i="1"/>
  <c r="P115" i="1"/>
  <c r="P175" i="1"/>
  <c r="P177" i="1"/>
  <c r="P182" i="1"/>
  <c r="P165" i="1"/>
  <c r="P164" i="1"/>
  <c r="P113" i="1"/>
  <c r="P190" i="1"/>
  <c r="P116" i="1"/>
  <c r="P84" i="1"/>
  <c r="P87" i="1"/>
  <c r="P172" i="1"/>
  <c r="P152" i="1"/>
  <c r="P110" i="1"/>
  <c r="P159" i="1"/>
  <c r="P36" i="1"/>
  <c r="P89" i="1"/>
  <c r="P192" i="1"/>
  <c r="P185" i="1"/>
  <c r="P121" i="1"/>
  <c r="P77" i="1"/>
  <c r="P27" i="1"/>
  <c r="P80" i="1"/>
  <c r="P130" i="1"/>
  <c r="P183" i="1"/>
  <c r="P54" i="1"/>
  <c r="P39" i="1"/>
  <c r="P119" i="1"/>
  <c r="P17" i="1"/>
  <c r="P107" i="1"/>
  <c r="P24" i="1"/>
  <c r="P105" i="1"/>
  <c r="P106" i="1"/>
  <c r="P46" i="1"/>
  <c r="P98" i="1"/>
  <c r="P28" i="1"/>
  <c r="P131" i="1"/>
  <c r="P61" i="1"/>
  <c r="P76" i="1"/>
  <c r="P166" i="1"/>
  <c r="P40" i="1"/>
  <c r="P178" i="1"/>
  <c r="P156" i="1"/>
  <c r="P189" i="1"/>
  <c r="P171" i="1"/>
  <c r="P75" i="1"/>
  <c r="P170" i="1"/>
  <c r="P91" i="1"/>
  <c r="P94" i="1"/>
  <c r="P103" i="1"/>
  <c r="P123" i="1"/>
  <c r="P48" i="1"/>
  <c r="P194" i="1"/>
  <c r="P150" i="1"/>
  <c r="P97" i="1"/>
  <c r="P168" i="1"/>
  <c r="P169" i="1"/>
  <c r="P142" i="1"/>
</calcChain>
</file>

<file path=xl/sharedStrings.xml><?xml version="1.0" encoding="utf-8"?>
<sst xmlns="http://schemas.openxmlformats.org/spreadsheetml/2006/main" count="1192" uniqueCount="431">
  <si>
    <t>NUESP</t>
  </si>
  <si>
    <t>ESP</t>
  </si>
  <si>
    <t>aID_SP</t>
  </si>
  <si>
    <t>aID_SP1</t>
  </si>
  <si>
    <t>Komplex_aID_SP</t>
  </si>
  <si>
    <t>Export_CSCF</t>
  </si>
  <si>
    <t>Berechnung_TFI</t>
  </si>
  <si>
    <t>Meldetyp</t>
  </si>
  <si>
    <t>if_n_obs</t>
  </si>
  <si>
    <t>if_n_stao</t>
  </si>
  <si>
    <t>if_n_years</t>
  </si>
  <si>
    <t>bdm_n_obs</t>
  </si>
  <si>
    <t>bdm_n_stao</t>
  </si>
  <si>
    <t>bdm_n_years</t>
  </si>
  <si>
    <t>Adscita statices aggr.</t>
  </si>
  <si>
    <t>10001</t>
  </si>
  <si>
    <t>4749</t>
  </si>
  <si>
    <t>nein</t>
  </si>
  <si>
    <t>ja</t>
  </si>
  <si>
    <t>Zygaena</t>
  </si>
  <si>
    <t>Jordanita globulariae aggr.</t>
  </si>
  <si>
    <t>10002</t>
  </si>
  <si>
    <t>4861</t>
  </si>
  <si>
    <t>Rhagades pruni</t>
  </si>
  <si>
    <t>29316</t>
  </si>
  <si>
    <t>NA</t>
  </si>
  <si>
    <t>Zipfelfalter_Holzarten</t>
  </si>
  <si>
    <t>Zygaena carniolica</t>
  </si>
  <si>
    <t>29317</t>
  </si>
  <si>
    <t>Zygaena ephialtes</t>
  </si>
  <si>
    <t>29318</t>
  </si>
  <si>
    <t>Zygaena exulans</t>
  </si>
  <si>
    <t>29320</t>
  </si>
  <si>
    <t>Alpenarten_eher_leicht</t>
  </si>
  <si>
    <t>Zygaena fausta</t>
  </si>
  <si>
    <t>29321</t>
  </si>
  <si>
    <t>Zygaena filipendulae</t>
  </si>
  <si>
    <t>29322</t>
  </si>
  <si>
    <t>Zygaena lonicerae</t>
  </si>
  <si>
    <t>29324</t>
  </si>
  <si>
    <t>Zygaena loti</t>
  </si>
  <si>
    <t>29325</t>
  </si>
  <si>
    <t>Zygaena minos</t>
  </si>
  <si>
    <t>29326</t>
  </si>
  <si>
    <t>Zygaena osterodensis</t>
  </si>
  <si>
    <t>29327</t>
  </si>
  <si>
    <t>Zygaena purpuralis</t>
  </si>
  <si>
    <t>29328</t>
  </si>
  <si>
    <t>Zygaena romeo</t>
  </si>
  <si>
    <t>29329</t>
  </si>
  <si>
    <t>Zygaena transalpina</t>
  </si>
  <si>
    <t>29330</t>
  </si>
  <si>
    <t>Zygaena trifolii</t>
  </si>
  <si>
    <t>29331</t>
  </si>
  <si>
    <t>Zygaena viciae</t>
  </si>
  <si>
    <t>29332</t>
  </si>
  <si>
    <t>Carcharodus alceae</t>
  </si>
  <si>
    <t>31000</t>
  </si>
  <si>
    <t>Dickkopf</t>
  </si>
  <si>
    <t>Carcharodus floccifera</t>
  </si>
  <si>
    <t>31002</t>
  </si>
  <si>
    <t>Carcharodus lavatherae</t>
  </si>
  <si>
    <t>31003</t>
  </si>
  <si>
    <t>Carterocephalus palaemon</t>
  </si>
  <si>
    <t>31004</t>
  </si>
  <si>
    <t>Erynnis tages</t>
  </si>
  <si>
    <t>31005</t>
  </si>
  <si>
    <t>Hesperia comma</t>
  </si>
  <si>
    <t>31007</t>
  </si>
  <si>
    <t>Heteropterus morpheus</t>
  </si>
  <si>
    <t>31008</t>
  </si>
  <si>
    <t>Suedschweiz</t>
  </si>
  <si>
    <t>Ochlodes sylvanus</t>
  </si>
  <si>
    <t>31009</t>
  </si>
  <si>
    <t>Pyrgus carthami</t>
  </si>
  <si>
    <t>31016</t>
  </si>
  <si>
    <t>Spialia sertorius</t>
  </si>
  <si>
    <t>31023</t>
  </si>
  <si>
    <t>Thymelicus acteon</t>
  </si>
  <si>
    <t>31024</t>
  </si>
  <si>
    <t>Thymelicus lineola</t>
  </si>
  <si>
    <t>31025</t>
  </si>
  <si>
    <t>Thymelicus sylvestris</t>
  </si>
  <si>
    <t>31026</t>
  </si>
  <si>
    <t>Pyrgus malvae aggr.</t>
  </si>
  <si>
    <t>31027</t>
  </si>
  <si>
    <t>4955</t>
  </si>
  <si>
    <t>Iphiclides podalirius</t>
  </si>
  <si>
    <t>31040</t>
  </si>
  <si>
    <t>auffaellig</t>
  </si>
  <si>
    <t>Papilio machaon</t>
  </si>
  <si>
    <t>31041</t>
  </si>
  <si>
    <t>Parnassius apollo</t>
  </si>
  <si>
    <t>31042</t>
  </si>
  <si>
    <t>Parnassius mnemosyne</t>
  </si>
  <si>
    <t>31043</t>
  </si>
  <si>
    <t>Parnassius phoebus</t>
  </si>
  <si>
    <t>31044</t>
  </si>
  <si>
    <t>Anthocharis cardamines</t>
  </si>
  <si>
    <t>31050</t>
  </si>
  <si>
    <t>Aporia crataegi</t>
  </si>
  <si>
    <t>31051</t>
  </si>
  <si>
    <t>Weisslinge</t>
  </si>
  <si>
    <t>Colias crocea</t>
  </si>
  <si>
    <t>31053</t>
  </si>
  <si>
    <t>Colias palaeno</t>
  </si>
  <si>
    <t>31055</t>
  </si>
  <si>
    <t>Colias phicomone</t>
  </si>
  <si>
    <t>31056</t>
  </si>
  <si>
    <t>Euchloe simplonia</t>
  </si>
  <si>
    <t>31057</t>
  </si>
  <si>
    <t>Gonepteryx rhamni</t>
  </si>
  <si>
    <t>31058</t>
  </si>
  <si>
    <t>Leptidea sinapis aggr.</t>
  </si>
  <si>
    <t>31059</t>
  </si>
  <si>
    <t>4869</t>
  </si>
  <si>
    <t>Pieris brassicae</t>
  </si>
  <si>
    <t>31060</t>
  </si>
  <si>
    <t>Pontia callidice</t>
  </si>
  <si>
    <t>31065</t>
  </si>
  <si>
    <t>Pontia edusa</t>
  </si>
  <si>
    <t>31066</t>
  </si>
  <si>
    <t>Colias hyale aggr.</t>
  </si>
  <si>
    <t>31068</t>
  </si>
  <si>
    <t>4802</t>
  </si>
  <si>
    <t>Pieris napi aggr.</t>
  </si>
  <si>
    <t>31069</t>
  </si>
  <si>
    <t>4918</t>
  </si>
  <si>
    <t>Pieris rapae aggr.</t>
  </si>
  <si>
    <t>31070</t>
  </si>
  <si>
    <t>4920</t>
  </si>
  <si>
    <t>Agriades glandon</t>
  </si>
  <si>
    <t>31080</t>
  </si>
  <si>
    <t>Blaeulinge</t>
  </si>
  <si>
    <t>Polyommatus damon</t>
  </si>
  <si>
    <t>31081</t>
  </si>
  <si>
    <t>Agriades orbitulus</t>
  </si>
  <si>
    <t>31082</t>
  </si>
  <si>
    <t>Callophrys rubi</t>
  </si>
  <si>
    <t>31085</t>
  </si>
  <si>
    <t>Celastrina argiolus</t>
  </si>
  <si>
    <t>31086</t>
  </si>
  <si>
    <t>Cupido minimus</t>
  </si>
  <si>
    <t>31087</t>
  </si>
  <si>
    <t>Cupido osiris</t>
  </si>
  <si>
    <t>31088</t>
  </si>
  <si>
    <t>Cyaniris semiargus</t>
  </si>
  <si>
    <t>31089</t>
  </si>
  <si>
    <t>Eumedonia eumedon</t>
  </si>
  <si>
    <t>31090</t>
  </si>
  <si>
    <t>Cupido alcetas</t>
  </si>
  <si>
    <t>31091</t>
  </si>
  <si>
    <t>Cupido argiades</t>
  </si>
  <si>
    <t>31092</t>
  </si>
  <si>
    <t>Satyrium pruni</t>
  </si>
  <si>
    <t>31093</t>
  </si>
  <si>
    <t>Glaucopsyche alexis</t>
  </si>
  <si>
    <t>31094</t>
  </si>
  <si>
    <t>Hamearis lucina</t>
  </si>
  <si>
    <t>31095</t>
  </si>
  <si>
    <t>Scheckenfalter_und_co</t>
  </si>
  <si>
    <t>Iolana iolas</t>
  </si>
  <si>
    <t>31096</t>
  </si>
  <si>
    <t>Lampides boeticus</t>
  </si>
  <si>
    <t>31097</t>
  </si>
  <si>
    <t>Plebejus argyrognomon</t>
  </si>
  <si>
    <t>31098</t>
  </si>
  <si>
    <t>Plebejus idas</t>
  </si>
  <si>
    <t>31099</t>
  </si>
  <si>
    <t>Lycaena alciphron</t>
  </si>
  <si>
    <t>31100</t>
  </si>
  <si>
    <t>Lycaena dispar</t>
  </si>
  <si>
    <t>31101</t>
  </si>
  <si>
    <t>Lycaena helle</t>
  </si>
  <si>
    <t>31102</t>
  </si>
  <si>
    <t>Lycaena hippothoe</t>
  </si>
  <si>
    <t>31103</t>
  </si>
  <si>
    <t>Lycaena phlaeas</t>
  </si>
  <si>
    <t>31104</t>
  </si>
  <si>
    <t>Lycaena tityrus</t>
  </si>
  <si>
    <t>31105</t>
  </si>
  <si>
    <t>Lycaena virgaureae</t>
  </si>
  <si>
    <t>31107</t>
  </si>
  <si>
    <t>Lysandra bellargus</t>
  </si>
  <si>
    <t>31108</t>
  </si>
  <si>
    <t>Lysandra coridon</t>
  </si>
  <si>
    <t>31109</t>
  </si>
  <si>
    <t>Phengaris arion</t>
  </si>
  <si>
    <t>31111</t>
  </si>
  <si>
    <t>Phengaris nausithous</t>
  </si>
  <si>
    <t>31112</t>
  </si>
  <si>
    <t>Phengaris teleius</t>
  </si>
  <si>
    <t>31114</t>
  </si>
  <si>
    <t>Polyommatus daphnis</t>
  </si>
  <si>
    <t>31115</t>
  </si>
  <si>
    <t>Kretania trappi</t>
  </si>
  <si>
    <t>31116</t>
  </si>
  <si>
    <t>Plebejus argus</t>
  </si>
  <si>
    <t>31117</t>
  </si>
  <si>
    <t>Polyommatus amandus</t>
  </si>
  <si>
    <t>31118</t>
  </si>
  <si>
    <t>Polyommatus dorylas</t>
  </si>
  <si>
    <t>31119</t>
  </si>
  <si>
    <t>Polyommatus escheri</t>
  </si>
  <si>
    <t>31120</t>
  </si>
  <si>
    <t>Polyommatus thersites</t>
  </si>
  <si>
    <t>31121</t>
  </si>
  <si>
    <t>Polyommatus eros</t>
  </si>
  <si>
    <t>31122</t>
  </si>
  <si>
    <t>Polyommatus icarus</t>
  </si>
  <si>
    <t>31123</t>
  </si>
  <si>
    <t>Aricia nicias</t>
  </si>
  <si>
    <t>31124</t>
  </si>
  <si>
    <t>Pseudophilotes baton</t>
  </si>
  <si>
    <t>31125</t>
  </si>
  <si>
    <t>Favonius quercus</t>
  </si>
  <si>
    <t>31126</t>
  </si>
  <si>
    <t>Satyrium acaciae</t>
  </si>
  <si>
    <t>31127</t>
  </si>
  <si>
    <t>Satyrium ilicis</t>
  </si>
  <si>
    <t>31128</t>
  </si>
  <si>
    <t>Satyrium spini</t>
  </si>
  <si>
    <t>31129</t>
  </si>
  <si>
    <t>Satyrium w-album</t>
  </si>
  <si>
    <t>31130</t>
  </si>
  <si>
    <t>Scolitantides orion</t>
  </si>
  <si>
    <t>31131</t>
  </si>
  <si>
    <t>Thecla betulae</t>
  </si>
  <si>
    <t>31133</t>
  </si>
  <si>
    <t>Agriades optilete</t>
  </si>
  <si>
    <t>31134</t>
  </si>
  <si>
    <t>Phengaris alcon aggr.</t>
  </si>
  <si>
    <t>31135</t>
  </si>
  <si>
    <t>4885</t>
  </si>
  <si>
    <t>Aricia agestis aggr.</t>
  </si>
  <si>
    <t>31136</t>
  </si>
  <si>
    <t>4765</t>
  </si>
  <si>
    <t>Cacyreus marshalli</t>
  </si>
  <si>
    <t>31137</t>
  </si>
  <si>
    <t>Libythea celtis</t>
  </si>
  <si>
    <t>31150</t>
  </si>
  <si>
    <t>Aglais urticae</t>
  </si>
  <si>
    <t>31151</t>
  </si>
  <si>
    <t>Apatura ilia</t>
  </si>
  <si>
    <t>31152</t>
  </si>
  <si>
    <t>Apatura iris</t>
  </si>
  <si>
    <t>31153</t>
  </si>
  <si>
    <t>Araschnia levana</t>
  </si>
  <si>
    <t>31154</t>
  </si>
  <si>
    <t>Argynnis paphia</t>
  </si>
  <si>
    <t>31155</t>
  </si>
  <si>
    <t>Boloria aquilonaris</t>
  </si>
  <si>
    <t>31156</t>
  </si>
  <si>
    <t>Brenthis daphne</t>
  </si>
  <si>
    <t>31159</t>
  </si>
  <si>
    <t>Brenthis ino</t>
  </si>
  <si>
    <t>31160</t>
  </si>
  <si>
    <t>Boloria dia</t>
  </si>
  <si>
    <t>31161</t>
  </si>
  <si>
    <t>Boloria euphrosyne</t>
  </si>
  <si>
    <t>31162</t>
  </si>
  <si>
    <t>Boloria selene</t>
  </si>
  <si>
    <t>31163</t>
  </si>
  <si>
    <t>Boloria thore</t>
  </si>
  <si>
    <t>31164</t>
  </si>
  <si>
    <t>Boloria titania</t>
  </si>
  <si>
    <t>31165</t>
  </si>
  <si>
    <t>Vanessa cardui</t>
  </si>
  <si>
    <t>31166</t>
  </si>
  <si>
    <t>Fabriciana adippe</t>
  </si>
  <si>
    <t>31169</t>
  </si>
  <si>
    <t>Fabriciana niobe</t>
  </si>
  <si>
    <t>31170</t>
  </si>
  <si>
    <t>Euphydryas cynthia</t>
  </si>
  <si>
    <t>31171</t>
  </si>
  <si>
    <t>Euphydryas intermedia</t>
  </si>
  <si>
    <t>31172</t>
  </si>
  <si>
    <t>Aglais io</t>
  </si>
  <si>
    <t>31173</t>
  </si>
  <si>
    <t>Issoria lathonia</t>
  </si>
  <si>
    <t>31174</t>
  </si>
  <si>
    <t>Limenitis camilla</t>
  </si>
  <si>
    <t>31175</t>
  </si>
  <si>
    <t>Augenfalter_uebrige_Arten</t>
  </si>
  <si>
    <t>Limenitis populi</t>
  </si>
  <si>
    <t>31176</t>
  </si>
  <si>
    <t>Limenitis reducta</t>
  </si>
  <si>
    <t>31177</t>
  </si>
  <si>
    <t>Melitaea cinxia</t>
  </si>
  <si>
    <t>31178</t>
  </si>
  <si>
    <t>Melitaea diamina</t>
  </si>
  <si>
    <t>31179</t>
  </si>
  <si>
    <t>Melitaea didyma</t>
  </si>
  <si>
    <t>31180</t>
  </si>
  <si>
    <t>Melitaea phoebe</t>
  </si>
  <si>
    <t>31181</t>
  </si>
  <si>
    <t>Melitaea asteria</t>
  </si>
  <si>
    <t>31182</t>
  </si>
  <si>
    <t>Melitaea athalia aggr.</t>
  </si>
  <si>
    <t>31183</t>
  </si>
  <si>
    <t>4893</t>
  </si>
  <si>
    <t>Melitaea aurelia</t>
  </si>
  <si>
    <t>31184</t>
  </si>
  <si>
    <t>Melitaea deione</t>
  </si>
  <si>
    <t>31186</t>
  </si>
  <si>
    <t>Melitaea parthenoides</t>
  </si>
  <si>
    <t>31187</t>
  </si>
  <si>
    <t>Melitaea varia</t>
  </si>
  <si>
    <t>31188</t>
  </si>
  <si>
    <t>Speyeria aglaja</t>
  </si>
  <si>
    <t>31189</t>
  </si>
  <si>
    <t>Neptis rivularis</t>
  </si>
  <si>
    <t>31190</t>
  </si>
  <si>
    <t>Nymphalis antiopa</t>
  </si>
  <si>
    <t>31191</t>
  </si>
  <si>
    <t>Nymphalis polychloros</t>
  </si>
  <si>
    <t>31192</t>
  </si>
  <si>
    <t>Argynnis pandora</t>
  </si>
  <si>
    <t>31193</t>
  </si>
  <si>
    <t>Polygonia c-album</t>
  </si>
  <si>
    <t>31194</t>
  </si>
  <si>
    <t>Vanessa atalanta</t>
  </si>
  <si>
    <t>31195</t>
  </si>
  <si>
    <t>Boloria pales aggr.</t>
  </si>
  <si>
    <t>31196</t>
  </si>
  <si>
    <t>4774</t>
  </si>
  <si>
    <t>Euphydryas aurinia</t>
  </si>
  <si>
    <t>31198</t>
  </si>
  <si>
    <t>Aphantopus hyperantus</t>
  </si>
  <si>
    <t>31201</t>
  </si>
  <si>
    <t>Brintesia circe</t>
  </si>
  <si>
    <t>31203</t>
  </si>
  <si>
    <t>Chazara briseis</t>
  </si>
  <si>
    <t>31204</t>
  </si>
  <si>
    <t>Coenonympha arcania</t>
  </si>
  <si>
    <t>31205</t>
  </si>
  <si>
    <t>Coenonympha glycerion</t>
  </si>
  <si>
    <t>31208</t>
  </si>
  <si>
    <t>Coenonympha pamphilus</t>
  </si>
  <si>
    <t>31211</t>
  </si>
  <si>
    <t>Coenonympha tullia</t>
  </si>
  <si>
    <t>31212</t>
  </si>
  <si>
    <t>Erebia aethiops</t>
  </si>
  <si>
    <t>31213</t>
  </si>
  <si>
    <t>Erebia albergana</t>
  </si>
  <si>
    <t>31214</t>
  </si>
  <si>
    <t>Erebien</t>
  </si>
  <si>
    <t>Erebia arvernensis</t>
  </si>
  <si>
    <t>31215</t>
  </si>
  <si>
    <t>Erebia epiphron</t>
  </si>
  <si>
    <t>31217</t>
  </si>
  <si>
    <t>Erebia eriphyle</t>
  </si>
  <si>
    <t>31218</t>
  </si>
  <si>
    <t>Erebia euryale</t>
  </si>
  <si>
    <t>31219</t>
  </si>
  <si>
    <t>Erebia flavofasciata</t>
  </si>
  <si>
    <t>31220</t>
  </si>
  <si>
    <t>Erebia gorge</t>
  </si>
  <si>
    <t>31221</t>
  </si>
  <si>
    <t>Erebia ligea</t>
  </si>
  <si>
    <t>31222</t>
  </si>
  <si>
    <t>Erebia manto</t>
  </si>
  <si>
    <t>31223</t>
  </si>
  <si>
    <t>Erebia medusa</t>
  </si>
  <si>
    <t>31224</t>
  </si>
  <si>
    <t>Erebia melampus</t>
  </si>
  <si>
    <t>31225</t>
  </si>
  <si>
    <t>Erebia meolans</t>
  </si>
  <si>
    <t>31226</t>
  </si>
  <si>
    <t>Erebia mnestra</t>
  </si>
  <si>
    <t>31227</t>
  </si>
  <si>
    <t>Erebia montana</t>
  </si>
  <si>
    <t>31228</t>
  </si>
  <si>
    <t>Erebia oeme</t>
  </si>
  <si>
    <t>31230</t>
  </si>
  <si>
    <t>Erebia pandrose</t>
  </si>
  <si>
    <t>31231</t>
  </si>
  <si>
    <t>Erebia pharte</t>
  </si>
  <si>
    <t>31232</t>
  </si>
  <si>
    <t>Erebia pluto</t>
  </si>
  <si>
    <t>31233</t>
  </si>
  <si>
    <t>Erebia pronoe s.l.</t>
  </si>
  <si>
    <t>31234</t>
  </si>
  <si>
    <t>Erebia styx</t>
  </si>
  <si>
    <t>31235</t>
  </si>
  <si>
    <t>Erebia sudetica</t>
  </si>
  <si>
    <t>31236</t>
  </si>
  <si>
    <t>Erebia triarius</t>
  </si>
  <si>
    <t>31237</t>
  </si>
  <si>
    <t>Erebia tyndarus</t>
  </si>
  <si>
    <t>31238</t>
  </si>
  <si>
    <t>Hipparchia fagi</t>
  </si>
  <si>
    <t>31240</t>
  </si>
  <si>
    <t>Hipparchia semele</t>
  </si>
  <si>
    <t>31241</t>
  </si>
  <si>
    <t>Hipparchia statilinus</t>
  </si>
  <si>
    <t>31242</t>
  </si>
  <si>
    <t>Hyponephele lycaon</t>
  </si>
  <si>
    <t>31243</t>
  </si>
  <si>
    <t>Lasiommata maera</t>
  </si>
  <si>
    <t>31244</t>
  </si>
  <si>
    <t>Lasiommata megera</t>
  </si>
  <si>
    <t>31245</t>
  </si>
  <si>
    <t>Lasiommata petropolitana</t>
  </si>
  <si>
    <t>31246</t>
  </si>
  <si>
    <t>Lopinga achine</t>
  </si>
  <si>
    <t>31247</t>
  </si>
  <si>
    <t>Maniola jurtina</t>
  </si>
  <si>
    <t>31248</t>
  </si>
  <si>
    <t>Melanargia galathea</t>
  </si>
  <si>
    <t>31249</t>
  </si>
  <si>
    <t>Minois dryas</t>
  </si>
  <si>
    <t>31250</t>
  </si>
  <si>
    <t>Oeneis glacialis</t>
  </si>
  <si>
    <t>31251</t>
  </si>
  <si>
    <t>Pararge aegeria</t>
  </si>
  <si>
    <t>31252</t>
  </si>
  <si>
    <t>Pyronia tithonus</t>
  </si>
  <si>
    <t>31253</t>
  </si>
  <si>
    <t>Satyrus ferula</t>
  </si>
  <si>
    <t>31254</t>
  </si>
  <si>
    <t>Hipparchia genava</t>
  </si>
  <si>
    <t>31260</t>
  </si>
  <si>
    <t>Coenonympha gardetta aggr.</t>
  </si>
  <si>
    <t>31287</t>
  </si>
  <si>
    <t>4794</t>
  </si>
  <si>
    <t>Pyrgus alveus aggr.</t>
  </si>
  <si>
    <t>10004</t>
  </si>
  <si>
    <t>4947</t>
  </si>
  <si>
    <t>Verhältnis Stao Infofauna/BDM</t>
  </si>
  <si>
    <t>Ausbreiter_e1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</si>
</sst>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0" fillId="0" borderId="0" xfId="0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"/>
  <sheetViews>
    <sheetView tabSelected="1" zoomScale="120" zoomScaleNormal="120" workbookViewId="0">
      <selection activeCell="H1" sqref="H1"/>
    </sheetView>
  </sheetViews>
  <sheetFormatPr baseColWidth="10" defaultRowHeight="15" x14ac:dyDescent="0.2"/>
  <cols>
    <col min="1" max="1" width="8.6640625" bestFit="1" customWidth="1"/>
    <col min="2" max="2" width="23.1640625" bestFit="1" customWidth="1"/>
    <col min="3" max="3" width="8.83203125" bestFit="1" customWidth="1"/>
    <col min="4" max="4" width="9.83203125" bestFit="1" customWidth="1"/>
    <col min="5" max="5" width="16.5" bestFit="1" customWidth="1"/>
    <col min="6" max="6" width="13.1640625" bestFit="1" customWidth="1"/>
    <col min="7" max="7" width="16" bestFit="1" customWidth="1"/>
    <col min="8" max="8" width="16" customWidth="1"/>
    <col min="9" max="9" width="21.6640625" bestFit="1" customWidth="1"/>
    <col min="10" max="10" width="10" bestFit="1" customWidth="1"/>
    <col min="11" max="11" width="10.5" bestFit="1" customWidth="1"/>
    <col min="12" max="12" width="11.33203125" bestFit="1" customWidth="1"/>
    <col min="13" max="13" width="12.5" bestFit="1" customWidth="1"/>
    <col min="14" max="14" width="13" bestFit="1" customWidth="1"/>
    <col min="15" max="15" width="13.83203125" bestFit="1" customWidth="1"/>
    <col min="16" max="16" width="28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430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429</v>
      </c>
    </row>
    <row r="2" spans="1:16" x14ac:dyDescent="0.2">
      <c r="A2">
        <v>31155</v>
      </c>
      <c r="B2" t="s">
        <v>249</v>
      </c>
      <c r="C2">
        <v>4764</v>
      </c>
      <c r="D2" t="s">
        <v>250</v>
      </c>
      <c r="E2" t="s">
        <v>25</v>
      </c>
      <c r="F2" t="s">
        <v>18</v>
      </c>
      <c r="G2" t="s">
        <v>18</v>
      </c>
      <c r="H2" s="4" t="s">
        <v>18</v>
      </c>
      <c r="I2" t="s">
        <v>89</v>
      </c>
      <c r="J2">
        <v>36226</v>
      </c>
      <c r="K2">
        <v>7227</v>
      </c>
      <c r="L2">
        <v>34</v>
      </c>
      <c r="M2">
        <v>2844</v>
      </c>
      <c r="N2">
        <v>297</v>
      </c>
      <c r="O2">
        <v>21</v>
      </c>
      <c r="P2" s="2">
        <f>K2/N2</f>
        <v>24.333333333333332</v>
      </c>
    </row>
    <row r="3" spans="1:16" x14ac:dyDescent="0.2">
      <c r="A3">
        <v>31159</v>
      </c>
      <c r="B3" t="s">
        <v>253</v>
      </c>
      <c r="C3">
        <v>4779</v>
      </c>
      <c r="D3" t="s">
        <v>254</v>
      </c>
      <c r="E3" t="s">
        <v>25</v>
      </c>
      <c r="F3" t="s">
        <v>18</v>
      </c>
      <c r="G3" t="s">
        <v>18</v>
      </c>
      <c r="H3" s="4" t="s">
        <v>18</v>
      </c>
      <c r="I3" t="s">
        <v>160</v>
      </c>
      <c r="J3">
        <v>4882</v>
      </c>
      <c r="K3">
        <v>1526</v>
      </c>
      <c r="L3">
        <v>33</v>
      </c>
      <c r="M3">
        <v>210</v>
      </c>
      <c r="N3">
        <v>78</v>
      </c>
      <c r="O3">
        <v>21</v>
      </c>
      <c r="P3" s="2">
        <f>K3/N3</f>
        <v>19.564102564102566</v>
      </c>
    </row>
    <row r="4" spans="1:16" x14ac:dyDescent="0.2">
      <c r="A4">
        <v>31203</v>
      </c>
      <c r="B4" t="s">
        <v>330</v>
      </c>
      <c r="C4">
        <v>4781</v>
      </c>
      <c r="D4" t="s">
        <v>331</v>
      </c>
      <c r="E4" t="s">
        <v>25</v>
      </c>
      <c r="F4" t="s">
        <v>18</v>
      </c>
      <c r="G4" t="s">
        <v>18</v>
      </c>
      <c r="H4" s="4" t="s">
        <v>18</v>
      </c>
      <c r="I4" t="s">
        <v>283</v>
      </c>
      <c r="J4">
        <v>7602</v>
      </c>
      <c r="K4">
        <v>2013</v>
      </c>
      <c r="L4">
        <v>34</v>
      </c>
      <c r="M4">
        <v>286</v>
      </c>
      <c r="N4">
        <v>71</v>
      </c>
      <c r="O4">
        <v>21</v>
      </c>
      <c r="P4" s="2">
        <f>K4/N4</f>
        <v>28.35211267605634</v>
      </c>
    </row>
    <row r="5" spans="1:16" x14ac:dyDescent="0.2">
      <c r="A5">
        <v>31091</v>
      </c>
      <c r="B5" t="s">
        <v>150</v>
      </c>
      <c r="C5">
        <v>4807</v>
      </c>
      <c r="D5" t="s">
        <v>151</v>
      </c>
      <c r="E5" t="s">
        <v>25</v>
      </c>
      <c r="F5" t="s">
        <v>18</v>
      </c>
      <c r="G5" t="s">
        <v>18</v>
      </c>
      <c r="H5" s="4" t="s">
        <v>18</v>
      </c>
      <c r="I5" t="s">
        <v>133</v>
      </c>
      <c r="J5">
        <v>5732</v>
      </c>
      <c r="K5">
        <v>1480</v>
      </c>
      <c r="L5">
        <v>33</v>
      </c>
      <c r="M5">
        <v>352</v>
      </c>
      <c r="N5">
        <v>86</v>
      </c>
      <c r="O5">
        <v>20</v>
      </c>
      <c r="P5" s="2">
        <f>K5/N5</f>
        <v>17.209302325581394</v>
      </c>
    </row>
    <row r="6" spans="1:16" x14ac:dyDescent="0.2">
      <c r="A6">
        <v>31092</v>
      </c>
      <c r="B6" t="s">
        <v>152</v>
      </c>
      <c r="C6">
        <v>4808</v>
      </c>
      <c r="D6" t="s">
        <v>153</v>
      </c>
      <c r="E6" t="s">
        <v>25</v>
      </c>
      <c r="F6" t="s">
        <v>18</v>
      </c>
      <c r="G6" t="s">
        <v>18</v>
      </c>
      <c r="H6" s="4" t="s">
        <v>18</v>
      </c>
      <c r="I6" t="s">
        <v>133</v>
      </c>
      <c r="J6">
        <v>11922</v>
      </c>
      <c r="K6">
        <v>2771</v>
      </c>
      <c r="L6">
        <v>30</v>
      </c>
      <c r="M6">
        <v>592</v>
      </c>
      <c r="N6">
        <v>143</v>
      </c>
      <c r="O6">
        <v>21</v>
      </c>
      <c r="P6" s="2">
        <f>K6/N6</f>
        <v>19.377622377622377</v>
      </c>
    </row>
    <row r="7" spans="1:16" x14ac:dyDescent="0.2">
      <c r="A7">
        <v>31058</v>
      </c>
      <c r="B7" t="s">
        <v>111</v>
      </c>
      <c r="C7">
        <v>4844</v>
      </c>
      <c r="D7" t="s">
        <v>112</v>
      </c>
      <c r="E7" t="s">
        <v>25</v>
      </c>
      <c r="F7" t="s">
        <v>18</v>
      </c>
      <c r="G7" t="s">
        <v>18</v>
      </c>
      <c r="H7" s="4" t="s">
        <v>18</v>
      </c>
      <c r="I7" t="s">
        <v>89</v>
      </c>
      <c r="J7">
        <v>40410</v>
      </c>
      <c r="K7">
        <v>8805</v>
      </c>
      <c r="L7">
        <v>34</v>
      </c>
      <c r="M7">
        <v>1763</v>
      </c>
      <c r="N7">
        <v>298</v>
      </c>
      <c r="O7">
        <v>21</v>
      </c>
      <c r="P7" s="2">
        <f>K7/N7</f>
        <v>29.546979865771814</v>
      </c>
    </row>
    <row r="8" spans="1:16" x14ac:dyDescent="0.2">
      <c r="A8">
        <v>31104</v>
      </c>
      <c r="B8" t="s">
        <v>177</v>
      </c>
      <c r="C8">
        <v>4881</v>
      </c>
      <c r="D8" t="s">
        <v>178</v>
      </c>
      <c r="E8" t="s">
        <v>25</v>
      </c>
      <c r="F8" t="s">
        <v>18</v>
      </c>
      <c r="G8" t="s">
        <v>18</v>
      </c>
      <c r="H8" s="4" t="s">
        <v>18</v>
      </c>
      <c r="I8" t="s">
        <v>133</v>
      </c>
      <c r="J8">
        <v>8072</v>
      </c>
      <c r="K8">
        <v>2994</v>
      </c>
      <c r="L8">
        <v>34</v>
      </c>
      <c r="M8">
        <v>792</v>
      </c>
      <c r="N8">
        <v>163</v>
      </c>
      <c r="O8">
        <v>21</v>
      </c>
      <c r="P8" s="2">
        <f>K8/N8</f>
        <v>18.368098159509202</v>
      </c>
    </row>
    <row r="9" spans="1:16" x14ac:dyDescent="0.2">
      <c r="A9">
        <v>31105</v>
      </c>
      <c r="B9" t="s">
        <v>179</v>
      </c>
      <c r="C9">
        <v>4882</v>
      </c>
      <c r="D9" t="s">
        <v>180</v>
      </c>
      <c r="E9" t="s">
        <v>25</v>
      </c>
      <c r="F9" t="s">
        <v>18</v>
      </c>
      <c r="G9" t="s">
        <v>18</v>
      </c>
      <c r="H9" s="4" t="s">
        <v>18</v>
      </c>
      <c r="I9" t="s">
        <v>133</v>
      </c>
      <c r="J9">
        <v>12997</v>
      </c>
      <c r="K9">
        <v>3980</v>
      </c>
      <c r="L9">
        <v>34</v>
      </c>
      <c r="M9">
        <v>1449</v>
      </c>
      <c r="N9">
        <v>222</v>
      </c>
      <c r="O9">
        <v>21</v>
      </c>
      <c r="P9" s="2">
        <f>K9/N9</f>
        <v>17.927927927927929</v>
      </c>
    </row>
    <row r="10" spans="1:16" x14ac:dyDescent="0.2">
      <c r="A10">
        <v>90170</v>
      </c>
      <c r="B10" t="s">
        <v>426</v>
      </c>
      <c r="C10">
        <v>4947</v>
      </c>
      <c r="D10" t="s">
        <v>427</v>
      </c>
      <c r="E10" t="s">
        <v>428</v>
      </c>
      <c r="F10" t="s">
        <v>18</v>
      </c>
      <c r="G10" t="s">
        <v>18</v>
      </c>
      <c r="H10" s="4" t="s">
        <v>18</v>
      </c>
      <c r="I10" t="s">
        <v>58</v>
      </c>
      <c r="J10">
        <v>8716</v>
      </c>
      <c r="K10">
        <v>2800</v>
      </c>
      <c r="L10">
        <v>34</v>
      </c>
      <c r="M10">
        <v>1652</v>
      </c>
      <c r="N10">
        <v>226</v>
      </c>
      <c r="O10">
        <v>21</v>
      </c>
      <c r="P10" s="2">
        <f>K10/N10</f>
        <v>12.389380530973451</v>
      </c>
    </row>
    <row r="11" spans="1:16" x14ac:dyDescent="0.2">
      <c r="A11">
        <v>31253</v>
      </c>
      <c r="B11" t="s">
        <v>417</v>
      </c>
      <c r="C11">
        <v>4961</v>
      </c>
      <c r="D11" t="s">
        <v>418</v>
      </c>
      <c r="E11" t="s">
        <v>25</v>
      </c>
      <c r="F11" t="s">
        <v>18</v>
      </c>
      <c r="G11" t="s">
        <v>18</v>
      </c>
      <c r="H11" s="4" t="s">
        <v>18</v>
      </c>
      <c r="I11" t="s">
        <v>283</v>
      </c>
      <c r="J11">
        <v>3139</v>
      </c>
      <c r="K11">
        <v>476</v>
      </c>
      <c r="L11">
        <v>34</v>
      </c>
      <c r="M11">
        <v>86</v>
      </c>
      <c r="N11">
        <v>16</v>
      </c>
      <c r="O11">
        <v>19</v>
      </c>
      <c r="P11" s="2">
        <f>K11/N11</f>
        <v>29.75</v>
      </c>
    </row>
    <row r="12" spans="1:16" x14ac:dyDescent="0.2">
      <c r="A12">
        <v>31026</v>
      </c>
      <c r="B12" t="s">
        <v>82</v>
      </c>
      <c r="C12">
        <v>4974</v>
      </c>
      <c r="D12" t="s">
        <v>83</v>
      </c>
      <c r="E12" t="s">
        <v>25</v>
      </c>
      <c r="F12" t="s">
        <v>18</v>
      </c>
      <c r="G12" t="s">
        <v>18</v>
      </c>
      <c r="H12" s="4" t="s">
        <v>18</v>
      </c>
      <c r="I12" t="s">
        <v>58</v>
      </c>
      <c r="J12">
        <v>15164</v>
      </c>
      <c r="K12">
        <v>4110</v>
      </c>
      <c r="L12">
        <v>34</v>
      </c>
      <c r="M12">
        <v>1683</v>
      </c>
      <c r="N12">
        <v>235</v>
      </c>
      <c r="O12">
        <v>21</v>
      </c>
      <c r="P12" s="2">
        <f>K12/N12</f>
        <v>17.48936170212766</v>
      </c>
    </row>
    <row r="13" spans="1:16" x14ac:dyDescent="0.2">
      <c r="A13">
        <v>31153</v>
      </c>
      <c r="B13" t="s">
        <v>245</v>
      </c>
      <c r="C13">
        <v>4755</v>
      </c>
      <c r="D13" t="s">
        <v>246</v>
      </c>
      <c r="E13" t="s">
        <v>25</v>
      </c>
      <c r="F13" t="s">
        <v>18</v>
      </c>
      <c r="G13" t="s">
        <v>18</v>
      </c>
      <c r="H13" s="4" t="s">
        <v>18</v>
      </c>
      <c r="I13" t="s">
        <v>89</v>
      </c>
      <c r="J13">
        <v>2596</v>
      </c>
      <c r="K13">
        <v>1707</v>
      </c>
      <c r="L13">
        <v>34</v>
      </c>
      <c r="M13">
        <v>230</v>
      </c>
      <c r="N13">
        <v>127</v>
      </c>
      <c r="O13">
        <v>21</v>
      </c>
      <c r="P13" s="2">
        <f>K13/N13</f>
        <v>13.440944881889763</v>
      </c>
    </row>
    <row r="14" spans="1:16" x14ac:dyDescent="0.2">
      <c r="A14">
        <v>1</v>
      </c>
      <c r="B14" t="s">
        <v>14</v>
      </c>
      <c r="C14">
        <v>4749</v>
      </c>
      <c r="D14" t="s">
        <v>15</v>
      </c>
      <c r="E14" t="s">
        <v>16</v>
      </c>
      <c r="F14" t="s">
        <v>17</v>
      </c>
      <c r="G14" t="s">
        <v>18</v>
      </c>
      <c r="I14" t="s">
        <v>19</v>
      </c>
      <c r="J14">
        <v>3114</v>
      </c>
      <c r="K14">
        <v>1298</v>
      </c>
      <c r="L14">
        <v>34</v>
      </c>
      <c r="M14">
        <v>434</v>
      </c>
      <c r="N14">
        <v>107</v>
      </c>
      <c r="O14">
        <v>21</v>
      </c>
      <c r="P14" s="2">
        <f>K14/N14</f>
        <v>12.130841121495328</v>
      </c>
    </row>
    <row r="15" spans="1:16" x14ac:dyDescent="0.2">
      <c r="A15">
        <v>31151</v>
      </c>
      <c r="B15" t="s">
        <v>241</v>
      </c>
      <c r="C15">
        <v>4750</v>
      </c>
      <c r="D15" t="s">
        <v>242</v>
      </c>
      <c r="E15" t="s">
        <v>25</v>
      </c>
      <c r="F15" t="s">
        <v>18</v>
      </c>
      <c r="G15" t="s">
        <v>18</v>
      </c>
      <c r="I15" t="s">
        <v>89</v>
      </c>
      <c r="J15">
        <v>62604</v>
      </c>
      <c r="K15">
        <v>13521</v>
      </c>
      <c r="L15">
        <v>34</v>
      </c>
      <c r="M15">
        <v>5142</v>
      </c>
      <c r="N15">
        <v>374</v>
      </c>
      <c r="O15">
        <v>21</v>
      </c>
      <c r="P15" s="2">
        <f>K15/N15</f>
        <v>36.152406417112303</v>
      </c>
    </row>
    <row r="16" spans="1:16" x14ac:dyDescent="0.2">
      <c r="A16">
        <v>31050</v>
      </c>
      <c r="B16" t="s">
        <v>98</v>
      </c>
      <c r="C16">
        <v>4752</v>
      </c>
      <c r="D16" t="s">
        <v>99</v>
      </c>
      <c r="E16" t="s">
        <v>25</v>
      </c>
      <c r="F16" t="s">
        <v>18</v>
      </c>
      <c r="G16" t="s">
        <v>18</v>
      </c>
      <c r="I16" t="s">
        <v>89</v>
      </c>
      <c r="J16">
        <v>30294</v>
      </c>
      <c r="K16">
        <v>8211</v>
      </c>
      <c r="L16">
        <v>34</v>
      </c>
      <c r="M16">
        <v>1671</v>
      </c>
      <c r="N16">
        <v>317</v>
      </c>
      <c r="O16">
        <v>21</v>
      </c>
      <c r="P16" s="2">
        <f>K16/N16</f>
        <v>25.902208201892744</v>
      </c>
    </row>
    <row r="17" spans="1:16" x14ac:dyDescent="0.2">
      <c r="A17">
        <v>31152</v>
      </c>
      <c r="B17" t="s">
        <v>243</v>
      </c>
      <c r="C17">
        <v>4754</v>
      </c>
      <c r="D17" t="s">
        <v>244</v>
      </c>
      <c r="E17" t="s">
        <v>25</v>
      </c>
      <c r="F17" t="s">
        <v>18</v>
      </c>
      <c r="G17" t="s">
        <v>18</v>
      </c>
      <c r="H17" s="5"/>
      <c r="I17" t="s">
        <v>26</v>
      </c>
      <c r="J17">
        <v>1254</v>
      </c>
      <c r="K17">
        <v>588</v>
      </c>
      <c r="L17">
        <v>33</v>
      </c>
      <c r="M17">
        <v>22</v>
      </c>
      <c r="N17">
        <v>20</v>
      </c>
      <c r="O17">
        <v>16</v>
      </c>
      <c r="P17" s="2">
        <f>K17/N17</f>
        <v>29.4</v>
      </c>
    </row>
    <row r="18" spans="1:16" x14ac:dyDescent="0.2">
      <c r="A18">
        <v>31201</v>
      </c>
      <c r="B18" t="s">
        <v>328</v>
      </c>
      <c r="C18">
        <v>4756</v>
      </c>
      <c r="D18" t="s">
        <v>329</v>
      </c>
      <c r="E18" t="s">
        <v>25</v>
      </c>
      <c r="F18" t="s">
        <v>18</v>
      </c>
      <c r="G18" t="s">
        <v>18</v>
      </c>
      <c r="I18" t="s">
        <v>283</v>
      </c>
      <c r="J18">
        <v>45331</v>
      </c>
      <c r="K18">
        <v>7476</v>
      </c>
      <c r="L18">
        <v>34</v>
      </c>
      <c r="M18">
        <v>2402</v>
      </c>
      <c r="N18">
        <v>247</v>
      </c>
      <c r="O18">
        <v>21</v>
      </c>
      <c r="P18" s="2">
        <f>K18/N18</f>
        <v>30.267206477732792</v>
      </c>
    </row>
    <row r="19" spans="1:16" x14ac:dyDescent="0.2">
      <c r="A19">
        <v>31051</v>
      </c>
      <c r="B19" t="s">
        <v>100</v>
      </c>
      <c r="C19">
        <v>4757</v>
      </c>
      <c r="D19" t="s">
        <v>101</v>
      </c>
      <c r="E19" t="s">
        <v>25</v>
      </c>
      <c r="F19" t="s">
        <v>18</v>
      </c>
      <c r="G19" t="s">
        <v>18</v>
      </c>
      <c r="I19" t="s">
        <v>102</v>
      </c>
      <c r="J19">
        <v>12344</v>
      </c>
      <c r="K19">
        <v>4168</v>
      </c>
      <c r="L19">
        <v>34</v>
      </c>
      <c r="M19">
        <v>1297</v>
      </c>
      <c r="N19">
        <v>190</v>
      </c>
      <c r="O19">
        <v>21</v>
      </c>
      <c r="P19" s="2">
        <f>K19/N19</f>
        <v>21.936842105263157</v>
      </c>
    </row>
    <row r="20" spans="1:16" x14ac:dyDescent="0.2">
      <c r="A20">
        <v>31154</v>
      </c>
      <c r="B20" t="s">
        <v>247</v>
      </c>
      <c r="C20">
        <v>4758</v>
      </c>
      <c r="D20" t="s">
        <v>248</v>
      </c>
      <c r="E20" t="s">
        <v>25</v>
      </c>
      <c r="F20" t="s">
        <v>18</v>
      </c>
      <c r="G20" t="s">
        <v>18</v>
      </c>
      <c r="I20" t="s">
        <v>89</v>
      </c>
      <c r="J20">
        <v>11112</v>
      </c>
      <c r="K20">
        <v>3329</v>
      </c>
      <c r="L20">
        <v>34</v>
      </c>
      <c r="M20">
        <v>980</v>
      </c>
      <c r="N20">
        <v>175</v>
      </c>
      <c r="O20">
        <v>21</v>
      </c>
      <c r="P20" s="2">
        <f>K20/N20</f>
        <v>19.022857142857141</v>
      </c>
    </row>
    <row r="21" spans="1:16" x14ac:dyDescent="0.2">
      <c r="A21">
        <v>31169</v>
      </c>
      <c r="B21" t="s">
        <v>269</v>
      </c>
      <c r="C21">
        <v>4760</v>
      </c>
      <c r="D21" t="s">
        <v>270</v>
      </c>
      <c r="E21" t="s">
        <v>25</v>
      </c>
      <c r="F21" t="s">
        <v>18</v>
      </c>
      <c r="G21" t="s">
        <v>18</v>
      </c>
      <c r="I21" t="s">
        <v>160</v>
      </c>
      <c r="J21">
        <v>9526</v>
      </c>
      <c r="K21">
        <v>2710</v>
      </c>
      <c r="L21">
        <v>34</v>
      </c>
      <c r="M21">
        <v>1177</v>
      </c>
      <c r="N21">
        <v>194</v>
      </c>
      <c r="O21">
        <v>21</v>
      </c>
      <c r="P21" s="2">
        <f>K21/N21</f>
        <v>13.969072164948454</v>
      </c>
    </row>
    <row r="22" spans="1:16" x14ac:dyDescent="0.2">
      <c r="A22">
        <v>31189</v>
      </c>
      <c r="B22" t="s">
        <v>309</v>
      </c>
      <c r="C22">
        <v>4761</v>
      </c>
      <c r="D22" t="s">
        <v>310</v>
      </c>
      <c r="E22" t="s">
        <v>25</v>
      </c>
      <c r="F22" t="s">
        <v>18</v>
      </c>
      <c r="G22" t="s">
        <v>18</v>
      </c>
      <c r="I22" t="s">
        <v>160</v>
      </c>
      <c r="J22">
        <v>14011</v>
      </c>
      <c r="K22">
        <v>4238</v>
      </c>
      <c r="L22">
        <v>34</v>
      </c>
      <c r="M22">
        <v>1992</v>
      </c>
      <c r="N22">
        <v>214</v>
      </c>
      <c r="O22">
        <v>21</v>
      </c>
      <c r="P22" s="2">
        <f>K22/N22</f>
        <v>19.803738317757009</v>
      </c>
    </row>
    <row r="23" spans="1:16" x14ac:dyDescent="0.2">
      <c r="A23">
        <v>31170</v>
      </c>
      <c r="B23" t="s">
        <v>271</v>
      </c>
      <c r="C23">
        <v>4762</v>
      </c>
      <c r="D23" t="s">
        <v>272</v>
      </c>
      <c r="E23" t="s">
        <v>25</v>
      </c>
      <c r="F23" t="s">
        <v>18</v>
      </c>
      <c r="G23" t="s">
        <v>18</v>
      </c>
      <c r="I23" t="s">
        <v>160</v>
      </c>
      <c r="J23">
        <v>4870</v>
      </c>
      <c r="K23">
        <v>2136</v>
      </c>
      <c r="L23">
        <v>34</v>
      </c>
      <c r="M23">
        <v>878</v>
      </c>
      <c r="N23">
        <v>147</v>
      </c>
      <c r="O23">
        <v>21</v>
      </c>
      <c r="P23" s="2">
        <f>K23/N23</f>
        <v>14.530612244897959</v>
      </c>
    </row>
    <row r="24" spans="1:16" x14ac:dyDescent="0.2">
      <c r="A24">
        <v>31193</v>
      </c>
      <c r="B24" t="s">
        <v>317</v>
      </c>
      <c r="C24">
        <v>4763</v>
      </c>
      <c r="D24" t="s">
        <v>318</v>
      </c>
      <c r="E24" t="s">
        <v>25</v>
      </c>
      <c r="F24" t="s">
        <v>18</v>
      </c>
      <c r="G24" t="s">
        <v>18</v>
      </c>
      <c r="I24" t="s">
        <v>71</v>
      </c>
      <c r="J24">
        <v>933</v>
      </c>
      <c r="K24">
        <v>210</v>
      </c>
      <c r="L24">
        <v>13</v>
      </c>
      <c r="M24">
        <v>21</v>
      </c>
      <c r="N24">
        <v>6</v>
      </c>
      <c r="O24">
        <v>6</v>
      </c>
      <c r="P24" s="2">
        <f>K24/N24</f>
        <v>35</v>
      </c>
    </row>
    <row r="25" spans="1:16" x14ac:dyDescent="0.2">
      <c r="A25">
        <v>31136</v>
      </c>
      <c r="B25" t="s">
        <v>234</v>
      </c>
      <c r="C25">
        <v>4765</v>
      </c>
      <c r="D25" t="s">
        <v>235</v>
      </c>
      <c r="E25" t="s">
        <v>236</v>
      </c>
      <c r="F25" t="s">
        <v>18</v>
      </c>
      <c r="G25" t="s">
        <v>18</v>
      </c>
      <c r="I25" t="s">
        <v>133</v>
      </c>
      <c r="J25">
        <v>11757</v>
      </c>
      <c r="K25">
        <v>3627</v>
      </c>
      <c r="L25">
        <v>34</v>
      </c>
      <c r="M25">
        <v>1583</v>
      </c>
      <c r="N25">
        <v>244</v>
      </c>
      <c r="O25">
        <v>21</v>
      </c>
      <c r="P25" s="2">
        <f>K25/N25</f>
        <v>14.864754098360656</v>
      </c>
    </row>
    <row r="26" spans="1:16" x14ac:dyDescent="0.2">
      <c r="A26">
        <v>31090</v>
      </c>
      <c r="B26" t="s">
        <v>148</v>
      </c>
      <c r="C26">
        <v>4768</v>
      </c>
      <c r="D26" t="s">
        <v>149</v>
      </c>
      <c r="E26" t="s">
        <v>25</v>
      </c>
      <c r="F26" t="s">
        <v>18</v>
      </c>
      <c r="G26" t="s">
        <v>18</v>
      </c>
      <c r="I26" t="s">
        <v>133</v>
      </c>
      <c r="J26">
        <v>2282</v>
      </c>
      <c r="K26">
        <v>1188</v>
      </c>
      <c r="L26">
        <v>34</v>
      </c>
      <c r="M26">
        <v>557</v>
      </c>
      <c r="N26">
        <v>108</v>
      </c>
      <c r="O26">
        <v>21</v>
      </c>
      <c r="P26" s="2">
        <f>K26/N26</f>
        <v>11</v>
      </c>
    </row>
    <row r="27" spans="1:16" x14ac:dyDescent="0.2">
      <c r="A27">
        <v>31124</v>
      </c>
      <c r="B27" t="s">
        <v>211</v>
      </c>
      <c r="C27">
        <v>4769</v>
      </c>
      <c r="D27" t="s">
        <v>212</v>
      </c>
      <c r="E27" t="s">
        <v>25</v>
      </c>
      <c r="F27" t="s">
        <v>18</v>
      </c>
      <c r="G27" t="s">
        <v>18</v>
      </c>
      <c r="I27" t="s">
        <v>133</v>
      </c>
      <c r="J27">
        <v>332</v>
      </c>
      <c r="K27">
        <v>186</v>
      </c>
      <c r="L27">
        <v>34</v>
      </c>
      <c r="M27">
        <v>37</v>
      </c>
      <c r="N27">
        <v>7</v>
      </c>
      <c r="O27">
        <v>11</v>
      </c>
      <c r="P27" s="2">
        <f>K27/N27</f>
        <v>26.571428571428573</v>
      </c>
    </row>
    <row r="28" spans="1:16" x14ac:dyDescent="0.2">
      <c r="A28">
        <v>31156</v>
      </c>
      <c r="B28" t="s">
        <v>251</v>
      </c>
      <c r="C28">
        <v>4770</v>
      </c>
      <c r="D28" t="s">
        <v>252</v>
      </c>
      <c r="E28" t="s">
        <v>25</v>
      </c>
      <c r="F28" t="s">
        <v>18</v>
      </c>
      <c r="G28" t="s">
        <v>18</v>
      </c>
      <c r="I28" t="s">
        <v>160</v>
      </c>
      <c r="J28">
        <v>4417</v>
      </c>
      <c r="K28">
        <v>189</v>
      </c>
      <c r="L28">
        <v>31</v>
      </c>
      <c r="M28">
        <v>14</v>
      </c>
      <c r="N28">
        <v>6</v>
      </c>
      <c r="O28">
        <v>9</v>
      </c>
      <c r="P28" s="2">
        <f>K28/N28</f>
        <v>31.5</v>
      </c>
    </row>
    <row r="29" spans="1:16" x14ac:dyDescent="0.2">
      <c r="A29">
        <v>31161</v>
      </c>
      <c r="B29" t="s">
        <v>257</v>
      </c>
      <c r="C29">
        <v>4771</v>
      </c>
      <c r="D29" t="s">
        <v>258</v>
      </c>
      <c r="E29" t="s">
        <v>25</v>
      </c>
      <c r="F29" t="s">
        <v>18</v>
      </c>
      <c r="G29" t="s">
        <v>18</v>
      </c>
      <c r="I29" t="s">
        <v>160</v>
      </c>
      <c r="J29">
        <v>9581</v>
      </c>
      <c r="K29">
        <v>1882</v>
      </c>
      <c r="L29">
        <v>34</v>
      </c>
      <c r="M29">
        <v>358</v>
      </c>
      <c r="N29">
        <v>78</v>
      </c>
      <c r="O29">
        <v>21</v>
      </c>
      <c r="P29" s="2">
        <f>K29/N29</f>
        <v>24.128205128205128</v>
      </c>
    </row>
    <row r="30" spans="1:16" x14ac:dyDescent="0.2">
      <c r="A30">
        <v>31162</v>
      </c>
      <c r="B30" t="s">
        <v>259</v>
      </c>
      <c r="C30">
        <v>4772</v>
      </c>
      <c r="D30" t="s">
        <v>260</v>
      </c>
      <c r="E30" t="s">
        <v>25</v>
      </c>
      <c r="F30" t="s">
        <v>18</v>
      </c>
      <c r="G30" t="s">
        <v>18</v>
      </c>
      <c r="I30" t="s">
        <v>160</v>
      </c>
      <c r="J30">
        <v>9860</v>
      </c>
      <c r="K30">
        <v>3568</v>
      </c>
      <c r="L30">
        <v>34</v>
      </c>
      <c r="M30">
        <v>1473</v>
      </c>
      <c r="N30">
        <v>204</v>
      </c>
      <c r="O30">
        <v>21</v>
      </c>
      <c r="P30" s="2">
        <f>K30/N30</f>
        <v>17.490196078431371</v>
      </c>
    </row>
    <row r="31" spans="1:16" x14ac:dyDescent="0.2">
      <c r="A31">
        <v>31196</v>
      </c>
      <c r="B31" t="s">
        <v>323</v>
      </c>
      <c r="C31">
        <v>4774</v>
      </c>
      <c r="D31" t="s">
        <v>324</v>
      </c>
      <c r="E31" t="s">
        <v>325</v>
      </c>
      <c r="F31" t="s">
        <v>18</v>
      </c>
      <c r="G31" t="s">
        <v>18</v>
      </c>
      <c r="I31" t="s">
        <v>160</v>
      </c>
      <c r="J31">
        <v>4645</v>
      </c>
      <c r="K31">
        <v>1581</v>
      </c>
      <c r="L31">
        <v>34</v>
      </c>
      <c r="M31">
        <v>1238</v>
      </c>
      <c r="N31">
        <v>101</v>
      </c>
      <c r="O31">
        <v>21</v>
      </c>
      <c r="P31" s="2">
        <f>K31/N31</f>
        <v>15.653465346534654</v>
      </c>
    </row>
    <row r="32" spans="1:16" x14ac:dyDescent="0.2">
      <c r="A32">
        <v>31163</v>
      </c>
      <c r="B32" t="s">
        <v>261</v>
      </c>
      <c r="C32">
        <v>4776</v>
      </c>
      <c r="D32" t="s">
        <v>262</v>
      </c>
      <c r="E32" t="s">
        <v>25</v>
      </c>
      <c r="F32" t="s">
        <v>18</v>
      </c>
      <c r="G32" t="s">
        <v>18</v>
      </c>
      <c r="I32" t="s">
        <v>160</v>
      </c>
      <c r="J32">
        <v>3897</v>
      </c>
      <c r="K32">
        <v>1209</v>
      </c>
      <c r="L32">
        <v>34</v>
      </c>
      <c r="M32">
        <v>602</v>
      </c>
      <c r="N32">
        <v>88</v>
      </c>
      <c r="O32">
        <v>21</v>
      </c>
      <c r="P32" s="2">
        <f>K32/N32</f>
        <v>13.738636363636363</v>
      </c>
    </row>
    <row r="33" spans="1:16" x14ac:dyDescent="0.2">
      <c r="A33">
        <v>31164</v>
      </c>
      <c r="B33" t="s">
        <v>263</v>
      </c>
      <c r="C33">
        <v>4777</v>
      </c>
      <c r="D33" t="s">
        <v>264</v>
      </c>
      <c r="E33" t="s">
        <v>25</v>
      </c>
      <c r="F33" t="s">
        <v>18</v>
      </c>
      <c r="G33" t="s">
        <v>18</v>
      </c>
      <c r="I33" t="s">
        <v>33</v>
      </c>
      <c r="J33">
        <v>395</v>
      </c>
      <c r="K33">
        <v>223</v>
      </c>
      <c r="L33">
        <v>31</v>
      </c>
      <c r="M33">
        <v>202</v>
      </c>
      <c r="N33">
        <v>50</v>
      </c>
      <c r="O33">
        <v>21</v>
      </c>
      <c r="P33" s="2">
        <f>K33/N33</f>
        <v>4.46</v>
      </c>
    </row>
    <row r="34" spans="1:16" x14ac:dyDescent="0.2">
      <c r="A34">
        <v>31165</v>
      </c>
      <c r="B34" t="s">
        <v>265</v>
      </c>
      <c r="C34">
        <v>4778</v>
      </c>
      <c r="D34" t="s">
        <v>266</v>
      </c>
      <c r="E34" t="s">
        <v>25</v>
      </c>
      <c r="F34" t="s">
        <v>18</v>
      </c>
      <c r="G34" t="s">
        <v>18</v>
      </c>
      <c r="I34" t="s">
        <v>33</v>
      </c>
      <c r="J34">
        <v>7094</v>
      </c>
      <c r="K34">
        <v>2337</v>
      </c>
      <c r="L34">
        <v>34</v>
      </c>
      <c r="M34">
        <v>1271</v>
      </c>
      <c r="N34">
        <v>138</v>
      </c>
      <c r="O34">
        <v>21</v>
      </c>
      <c r="P34" s="2">
        <f>K34/N34</f>
        <v>16.934782608695652</v>
      </c>
    </row>
    <row r="35" spans="1:16" x14ac:dyDescent="0.2">
      <c r="A35">
        <v>31160</v>
      </c>
      <c r="B35" t="s">
        <v>255</v>
      </c>
      <c r="C35">
        <v>4780</v>
      </c>
      <c r="D35" t="s">
        <v>256</v>
      </c>
      <c r="E35" t="s">
        <v>25</v>
      </c>
      <c r="F35" t="s">
        <v>18</v>
      </c>
      <c r="G35" t="s">
        <v>18</v>
      </c>
      <c r="I35" t="s">
        <v>160</v>
      </c>
      <c r="J35">
        <v>15596</v>
      </c>
      <c r="K35">
        <v>2666</v>
      </c>
      <c r="L35">
        <v>34</v>
      </c>
      <c r="M35">
        <v>590</v>
      </c>
      <c r="N35">
        <v>105</v>
      </c>
      <c r="O35">
        <v>21</v>
      </c>
      <c r="P35" s="2">
        <f>K35/N35</f>
        <v>25.390476190476189</v>
      </c>
    </row>
    <row r="36" spans="1:16" x14ac:dyDescent="0.2">
      <c r="A36">
        <v>31137</v>
      </c>
      <c r="B36" t="s">
        <v>237</v>
      </c>
      <c r="C36">
        <v>4782</v>
      </c>
      <c r="D36" t="s">
        <v>238</v>
      </c>
      <c r="E36" t="s">
        <v>25</v>
      </c>
      <c r="F36" t="s">
        <v>18</v>
      </c>
      <c r="G36" t="s">
        <v>18</v>
      </c>
      <c r="I36" t="s">
        <v>71</v>
      </c>
      <c r="J36">
        <v>895</v>
      </c>
      <c r="K36">
        <v>375</v>
      </c>
      <c r="L36">
        <v>20</v>
      </c>
      <c r="M36">
        <v>43</v>
      </c>
      <c r="N36">
        <v>16</v>
      </c>
      <c r="O36">
        <v>14</v>
      </c>
      <c r="P36" s="2">
        <f>K36/N36</f>
        <v>23.4375</v>
      </c>
    </row>
    <row r="37" spans="1:16" x14ac:dyDescent="0.2">
      <c r="A37">
        <v>31085</v>
      </c>
      <c r="B37" t="s">
        <v>138</v>
      </c>
      <c r="C37">
        <v>4783</v>
      </c>
      <c r="D37" t="s">
        <v>139</v>
      </c>
      <c r="E37" t="s">
        <v>25</v>
      </c>
      <c r="F37" t="s">
        <v>18</v>
      </c>
      <c r="G37" t="s">
        <v>18</v>
      </c>
      <c r="I37" t="s">
        <v>133</v>
      </c>
      <c r="J37">
        <v>6182</v>
      </c>
      <c r="K37">
        <v>2530</v>
      </c>
      <c r="L37">
        <v>34</v>
      </c>
      <c r="M37">
        <v>868</v>
      </c>
      <c r="N37">
        <v>168</v>
      </c>
      <c r="O37">
        <v>21</v>
      </c>
      <c r="P37" s="2">
        <f>K37/N37</f>
        <v>15.05952380952381</v>
      </c>
    </row>
    <row r="38" spans="1:16" x14ac:dyDescent="0.2">
      <c r="A38">
        <v>31000</v>
      </c>
      <c r="B38" t="s">
        <v>56</v>
      </c>
      <c r="C38">
        <v>4784</v>
      </c>
      <c r="D38" t="s">
        <v>57</v>
      </c>
      <c r="E38" t="s">
        <v>25</v>
      </c>
      <c r="F38" t="s">
        <v>18</v>
      </c>
      <c r="G38" t="s">
        <v>18</v>
      </c>
      <c r="I38" t="s">
        <v>58</v>
      </c>
      <c r="J38">
        <v>3788</v>
      </c>
      <c r="K38">
        <v>1349</v>
      </c>
      <c r="L38">
        <v>34</v>
      </c>
      <c r="M38">
        <v>263</v>
      </c>
      <c r="N38">
        <v>101</v>
      </c>
      <c r="O38">
        <v>21</v>
      </c>
      <c r="P38" s="2">
        <f>K38/N38</f>
        <v>13.356435643564357</v>
      </c>
    </row>
    <row r="39" spans="1:16" x14ac:dyDescent="0.2">
      <c r="A39">
        <v>31002</v>
      </c>
      <c r="B39" t="s">
        <v>59</v>
      </c>
      <c r="C39">
        <v>4786</v>
      </c>
      <c r="D39" t="s">
        <v>60</v>
      </c>
      <c r="E39" t="s">
        <v>25</v>
      </c>
      <c r="F39" t="s">
        <v>18</v>
      </c>
      <c r="G39" t="s">
        <v>18</v>
      </c>
      <c r="I39" t="s">
        <v>58</v>
      </c>
      <c r="J39">
        <v>391</v>
      </c>
      <c r="K39">
        <v>156</v>
      </c>
      <c r="L39">
        <v>32</v>
      </c>
      <c r="M39">
        <v>27</v>
      </c>
      <c r="N39">
        <v>13</v>
      </c>
      <c r="O39">
        <v>13</v>
      </c>
      <c r="P39" s="2">
        <f>K39/N39</f>
        <v>12</v>
      </c>
    </row>
    <row r="40" spans="1:16" x14ac:dyDescent="0.2">
      <c r="A40">
        <v>31003</v>
      </c>
      <c r="B40" t="s">
        <v>61</v>
      </c>
      <c r="C40">
        <v>4787</v>
      </c>
      <c r="D40" t="s">
        <v>62</v>
      </c>
      <c r="E40" t="s">
        <v>25</v>
      </c>
      <c r="F40" t="s">
        <v>18</v>
      </c>
      <c r="G40" t="s">
        <v>18</v>
      </c>
      <c r="I40" t="s">
        <v>58</v>
      </c>
      <c r="J40">
        <v>452</v>
      </c>
      <c r="K40">
        <v>108</v>
      </c>
      <c r="L40">
        <v>30</v>
      </c>
      <c r="M40">
        <v>12</v>
      </c>
      <c r="N40">
        <v>3</v>
      </c>
      <c r="O40">
        <v>7</v>
      </c>
      <c r="P40" s="2">
        <f>K40/N40</f>
        <v>36</v>
      </c>
    </row>
    <row r="41" spans="1:16" x14ac:dyDescent="0.2">
      <c r="A41">
        <v>31004</v>
      </c>
      <c r="B41" t="s">
        <v>63</v>
      </c>
      <c r="C41">
        <v>4788</v>
      </c>
      <c r="D41" t="s">
        <v>64</v>
      </c>
      <c r="E41" t="s">
        <v>25</v>
      </c>
      <c r="F41" t="s">
        <v>18</v>
      </c>
      <c r="G41" t="s">
        <v>18</v>
      </c>
      <c r="I41" t="s">
        <v>58</v>
      </c>
      <c r="J41">
        <v>3517</v>
      </c>
      <c r="K41">
        <v>1721</v>
      </c>
      <c r="L41">
        <v>34</v>
      </c>
      <c r="M41">
        <v>521</v>
      </c>
      <c r="N41">
        <v>150</v>
      </c>
      <c r="O41">
        <v>21</v>
      </c>
      <c r="P41" s="2">
        <f>K41/N41</f>
        <v>11.473333333333333</v>
      </c>
    </row>
    <row r="42" spans="1:16" x14ac:dyDescent="0.2">
      <c r="A42">
        <v>31086</v>
      </c>
      <c r="B42" t="s">
        <v>140</v>
      </c>
      <c r="C42">
        <v>4789</v>
      </c>
      <c r="D42" t="s">
        <v>141</v>
      </c>
      <c r="E42" t="s">
        <v>25</v>
      </c>
      <c r="F42" t="s">
        <v>18</v>
      </c>
      <c r="G42" t="s">
        <v>18</v>
      </c>
      <c r="I42" t="s">
        <v>133</v>
      </c>
      <c r="J42">
        <v>8830</v>
      </c>
      <c r="K42">
        <v>3272</v>
      </c>
      <c r="L42">
        <v>34</v>
      </c>
      <c r="M42">
        <v>792</v>
      </c>
      <c r="N42">
        <v>215</v>
      </c>
      <c r="O42">
        <v>21</v>
      </c>
      <c r="P42" s="2">
        <f>K42/N42</f>
        <v>15.21860465116279</v>
      </c>
    </row>
    <row r="43" spans="1:16" x14ac:dyDescent="0.2">
      <c r="A43">
        <v>31204</v>
      </c>
      <c r="B43" t="s">
        <v>332</v>
      </c>
      <c r="C43">
        <v>4790</v>
      </c>
      <c r="D43" t="s">
        <v>333</v>
      </c>
      <c r="E43" t="s">
        <v>25</v>
      </c>
      <c r="F43" t="s">
        <v>18</v>
      </c>
      <c r="G43" t="s">
        <v>18</v>
      </c>
      <c r="I43" t="s">
        <v>283</v>
      </c>
      <c r="J43">
        <v>499</v>
      </c>
      <c r="K43">
        <v>22</v>
      </c>
      <c r="L43">
        <v>26</v>
      </c>
      <c r="M43">
        <v>0</v>
      </c>
      <c r="N43">
        <v>0</v>
      </c>
      <c r="O43">
        <v>0</v>
      </c>
      <c r="P43" s="3">
        <v>0</v>
      </c>
    </row>
    <row r="44" spans="1:16" x14ac:dyDescent="0.2">
      <c r="A44">
        <v>31205</v>
      </c>
      <c r="B44" t="s">
        <v>334</v>
      </c>
      <c r="C44">
        <v>4791</v>
      </c>
      <c r="D44" t="s">
        <v>335</v>
      </c>
      <c r="E44" t="s">
        <v>25</v>
      </c>
      <c r="F44" t="s">
        <v>18</v>
      </c>
      <c r="G44" t="s">
        <v>18</v>
      </c>
      <c r="I44" t="s">
        <v>283</v>
      </c>
      <c r="J44">
        <v>4871</v>
      </c>
      <c r="K44">
        <v>556</v>
      </c>
      <c r="L44">
        <v>34</v>
      </c>
      <c r="M44">
        <v>145</v>
      </c>
      <c r="N44">
        <v>22</v>
      </c>
      <c r="O44">
        <v>21</v>
      </c>
      <c r="P44" s="2">
        <f>K44/N44</f>
        <v>25.272727272727273</v>
      </c>
    </row>
    <row r="45" spans="1:16" x14ac:dyDescent="0.2">
      <c r="A45">
        <v>31287</v>
      </c>
      <c r="B45" t="s">
        <v>423</v>
      </c>
      <c r="C45">
        <v>4794</v>
      </c>
      <c r="D45" t="s">
        <v>424</v>
      </c>
      <c r="E45" t="s">
        <v>425</v>
      </c>
      <c r="F45" t="s">
        <v>18</v>
      </c>
      <c r="G45" t="s">
        <v>18</v>
      </c>
      <c r="I45" t="s">
        <v>33</v>
      </c>
      <c r="J45">
        <v>8443</v>
      </c>
      <c r="K45">
        <v>2554</v>
      </c>
      <c r="L45">
        <v>34</v>
      </c>
      <c r="M45">
        <v>1285</v>
      </c>
      <c r="N45">
        <v>120</v>
      </c>
      <c r="O45">
        <v>21</v>
      </c>
      <c r="P45" s="2">
        <f>K45/N45</f>
        <v>21.283333333333335</v>
      </c>
    </row>
    <row r="46" spans="1:16" x14ac:dyDescent="0.2">
      <c r="A46">
        <v>31208</v>
      </c>
      <c r="B46" t="s">
        <v>336</v>
      </c>
      <c r="C46">
        <v>4796</v>
      </c>
      <c r="D46" t="s">
        <v>337</v>
      </c>
      <c r="E46" t="s">
        <v>25</v>
      </c>
      <c r="F46" t="s">
        <v>18</v>
      </c>
      <c r="G46" t="s">
        <v>18</v>
      </c>
      <c r="I46" t="s">
        <v>283</v>
      </c>
      <c r="J46">
        <v>1600</v>
      </c>
      <c r="K46">
        <v>228</v>
      </c>
      <c r="L46">
        <v>34</v>
      </c>
      <c r="M46">
        <v>18</v>
      </c>
      <c r="N46">
        <v>7</v>
      </c>
      <c r="O46">
        <v>10</v>
      </c>
      <c r="P46" s="2">
        <f>K46/N46</f>
        <v>32.571428571428569</v>
      </c>
    </row>
    <row r="47" spans="1:16" x14ac:dyDescent="0.2">
      <c r="A47">
        <v>31211</v>
      </c>
      <c r="B47" t="s">
        <v>338</v>
      </c>
      <c r="C47">
        <v>4799</v>
      </c>
      <c r="D47" t="s">
        <v>339</v>
      </c>
      <c r="E47" t="s">
        <v>25</v>
      </c>
      <c r="F47" t="s">
        <v>18</v>
      </c>
      <c r="G47" t="s">
        <v>18</v>
      </c>
      <c r="I47" t="s">
        <v>283</v>
      </c>
      <c r="J47">
        <v>67497</v>
      </c>
      <c r="K47">
        <v>8924</v>
      </c>
      <c r="L47">
        <v>34</v>
      </c>
      <c r="M47">
        <v>4172</v>
      </c>
      <c r="N47">
        <v>277</v>
      </c>
      <c r="O47">
        <v>21</v>
      </c>
      <c r="P47" s="2">
        <f>K47/N47</f>
        <v>32.216606498194949</v>
      </c>
    </row>
    <row r="48" spans="1:16" x14ac:dyDescent="0.2">
      <c r="A48">
        <v>31212</v>
      </c>
      <c r="B48" t="s">
        <v>340</v>
      </c>
      <c r="C48">
        <v>4800</v>
      </c>
      <c r="D48" t="s">
        <v>341</v>
      </c>
      <c r="E48" t="s">
        <v>25</v>
      </c>
      <c r="F48" t="s">
        <v>18</v>
      </c>
      <c r="G48" t="s">
        <v>18</v>
      </c>
      <c r="I48" t="s">
        <v>283</v>
      </c>
      <c r="J48">
        <v>2532</v>
      </c>
      <c r="K48">
        <v>90</v>
      </c>
      <c r="L48">
        <v>29</v>
      </c>
      <c r="M48">
        <v>4</v>
      </c>
      <c r="N48">
        <v>2</v>
      </c>
      <c r="O48">
        <v>4</v>
      </c>
      <c r="P48" s="2">
        <f>K48/N48</f>
        <v>45</v>
      </c>
    </row>
    <row r="49" spans="1:16" x14ac:dyDescent="0.2">
      <c r="A49">
        <v>31053</v>
      </c>
      <c r="B49" t="s">
        <v>103</v>
      </c>
      <c r="C49">
        <v>4801</v>
      </c>
      <c r="D49" t="s">
        <v>104</v>
      </c>
      <c r="E49" t="s">
        <v>25</v>
      </c>
      <c r="F49" t="s">
        <v>18</v>
      </c>
      <c r="G49" t="s">
        <v>18</v>
      </c>
      <c r="I49" t="s">
        <v>89</v>
      </c>
      <c r="J49">
        <v>18717</v>
      </c>
      <c r="K49">
        <v>5396</v>
      </c>
      <c r="L49">
        <v>34</v>
      </c>
      <c r="M49">
        <v>1727</v>
      </c>
      <c r="N49">
        <v>319</v>
      </c>
      <c r="O49">
        <v>21</v>
      </c>
      <c r="P49" s="2">
        <f>K49/N49</f>
        <v>16.915360501567399</v>
      </c>
    </row>
    <row r="50" spans="1:16" x14ac:dyDescent="0.2">
      <c r="A50">
        <v>31068</v>
      </c>
      <c r="B50" t="s">
        <v>122</v>
      </c>
      <c r="C50">
        <v>4802</v>
      </c>
      <c r="D50" t="s">
        <v>123</v>
      </c>
      <c r="E50" t="s">
        <v>124</v>
      </c>
      <c r="F50" t="s">
        <v>18</v>
      </c>
      <c r="G50" t="s">
        <v>18</v>
      </c>
      <c r="I50" t="s">
        <v>102</v>
      </c>
      <c r="J50">
        <v>27749</v>
      </c>
      <c r="K50">
        <v>5597</v>
      </c>
      <c r="L50">
        <v>34</v>
      </c>
      <c r="M50">
        <v>2750</v>
      </c>
      <c r="N50">
        <v>294</v>
      </c>
      <c r="O50">
        <v>21</v>
      </c>
      <c r="P50" s="2">
        <f>K50/N50</f>
        <v>19.037414965986393</v>
      </c>
    </row>
    <row r="51" spans="1:16" x14ac:dyDescent="0.2">
      <c r="A51">
        <v>31055</v>
      </c>
      <c r="B51" t="s">
        <v>105</v>
      </c>
      <c r="C51">
        <v>4805</v>
      </c>
      <c r="D51" t="s">
        <v>106</v>
      </c>
      <c r="E51" t="s">
        <v>25</v>
      </c>
      <c r="F51" t="s">
        <v>18</v>
      </c>
      <c r="G51" t="s">
        <v>18</v>
      </c>
      <c r="I51" t="s">
        <v>33</v>
      </c>
      <c r="J51">
        <v>2787</v>
      </c>
      <c r="K51">
        <v>933</v>
      </c>
      <c r="L51">
        <v>34</v>
      </c>
      <c r="M51">
        <v>490</v>
      </c>
      <c r="N51">
        <v>78</v>
      </c>
      <c r="O51">
        <v>21</v>
      </c>
      <c r="P51" s="2">
        <f>K51/N51</f>
        <v>11.961538461538462</v>
      </c>
    </row>
    <row r="52" spans="1:16" x14ac:dyDescent="0.2">
      <c r="A52">
        <v>31056</v>
      </c>
      <c r="B52" t="s">
        <v>107</v>
      </c>
      <c r="C52">
        <v>4806</v>
      </c>
      <c r="D52" t="s">
        <v>108</v>
      </c>
      <c r="E52" t="s">
        <v>25</v>
      </c>
      <c r="F52" t="s">
        <v>18</v>
      </c>
      <c r="G52" t="s">
        <v>18</v>
      </c>
      <c r="I52" t="s">
        <v>33</v>
      </c>
      <c r="J52">
        <v>3976</v>
      </c>
      <c r="K52">
        <v>1639</v>
      </c>
      <c r="L52">
        <v>34</v>
      </c>
      <c r="M52">
        <v>881</v>
      </c>
      <c r="N52">
        <v>110</v>
      </c>
      <c r="O52">
        <v>21</v>
      </c>
      <c r="P52" s="2">
        <f>K52/N52</f>
        <v>14.9</v>
      </c>
    </row>
    <row r="53" spans="1:16" x14ac:dyDescent="0.2">
      <c r="A53">
        <v>31087</v>
      </c>
      <c r="B53" t="s">
        <v>142</v>
      </c>
      <c r="C53">
        <v>4809</v>
      </c>
      <c r="D53" t="s">
        <v>143</v>
      </c>
      <c r="E53" t="s">
        <v>25</v>
      </c>
      <c r="F53" t="s">
        <v>18</v>
      </c>
      <c r="G53" t="s">
        <v>18</v>
      </c>
      <c r="I53" t="s">
        <v>133</v>
      </c>
      <c r="J53">
        <v>14919</v>
      </c>
      <c r="K53">
        <v>4533</v>
      </c>
      <c r="L53">
        <v>34</v>
      </c>
      <c r="M53">
        <v>1784</v>
      </c>
      <c r="N53">
        <v>211</v>
      </c>
      <c r="O53">
        <v>21</v>
      </c>
      <c r="P53" s="2">
        <f>K53/N53</f>
        <v>21.48341232227488</v>
      </c>
    </row>
    <row r="54" spans="1:16" x14ac:dyDescent="0.2">
      <c r="A54">
        <v>31088</v>
      </c>
      <c r="B54" t="s">
        <v>144</v>
      </c>
      <c r="C54">
        <v>4810</v>
      </c>
      <c r="D54" t="s">
        <v>145</v>
      </c>
      <c r="E54" t="s">
        <v>25</v>
      </c>
      <c r="F54" t="s">
        <v>18</v>
      </c>
      <c r="G54" t="s">
        <v>18</v>
      </c>
      <c r="I54" t="s">
        <v>133</v>
      </c>
      <c r="J54">
        <v>458</v>
      </c>
      <c r="K54">
        <v>178</v>
      </c>
      <c r="L54">
        <v>31</v>
      </c>
      <c r="M54">
        <v>28</v>
      </c>
      <c r="N54">
        <v>12</v>
      </c>
      <c r="O54">
        <v>14</v>
      </c>
      <c r="P54" s="2">
        <f>K54/N54</f>
        <v>14.833333333333334</v>
      </c>
    </row>
    <row r="55" spans="1:16" x14ac:dyDescent="0.2">
      <c r="A55">
        <v>31213</v>
      </c>
      <c r="B55" t="s">
        <v>342</v>
      </c>
      <c r="C55">
        <v>4811</v>
      </c>
      <c r="D55" t="s">
        <v>343</v>
      </c>
      <c r="E55" t="s">
        <v>25</v>
      </c>
      <c r="F55" t="s">
        <v>18</v>
      </c>
      <c r="G55" t="s">
        <v>18</v>
      </c>
      <c r="I55" t="s">
        <v>283</v>
      </c>
      <c r="J55">
        <v>12334</v>
      </c>
      <c r="K55">
        <v>3084</v>
      </c>
      <c r="L55">
        <v>34</v>
      </c>
      <c r="M55">
        <v>1566</v>
      </c>
      <c r="N55">
        <v>168</v>
      </c>
      <c r="O55">
        <v>21</v>
      </c>
      <c r="P55" s="2">
        <f>K55/N55</f>
        <v>18.357142857142858</v>
      </c>
    </row>
    <row r="56" spans="1:16" x14ac:dyDescent="0.2">
      <c r="A56">
        <v>31214</v>
      </c>
      <c r="B56" t="s">
        <v>344</v>
      </c>
      <c r="C56">
        <v>4812</v>
      </c>
      <c r="D56" t="s">
        <v>345</v>
      </c>
      <c r="E56" t="s">
        <v>25</v>
      </c>
      <c r="F56" t="s">
        <v>18</v>
      </c>
      <c r="G56" t="s">
        <v>18</v>
      </c>
      <c r="I56" t="s">
        <v>346</v>
      </c>
      <c r="J56">
        <v>3319</v>
      </c>
      <c r="K56">
        <v>1066</v>
      </c>
      <c r="L56">
        <v>34</v>
      </c>
      <c r="M56">
        <v>326</v>
      </c>
      <c r="N56">
        <v>45</v>
      </c>
      <c r="O56">
        <v>21</v>
      </c>
      <c r="P56" s="2">
        <f>K56/N56</f>
        <v>23.68888888888889</v>
      </c>
    </row>
    <row r="57" spans="1:16" x14ac:dyDescent="0.2">
      <c r="A57">
        <v>31215</v>
      </c>
      <c r="B57" t="s">
        <v>347</v>
      </c>
      <c r="C57">
        <v>4813</v>
      </c>
      <c r="D57" t="s">
        <v>348</v>
      </c>
      <c r="E57" t="s">
        <v>25</v>
      </c>
      <c r="F57" t="s">
        <v>18</v>
      </c>
      <c r="G57" t="s">
        <v>18</v>
      </c>
      <c r="I57" t="s">
        <v>346</v>
      </c>
      <c r="J57">
        <v>660</v>
      </c>
      <c r="K57">
        <v>227</v>
      </c>
      <c r="L57">
        <v>30</v>
      </c>
      <c r="M57">
        <v>64</v>
      </c>
      <c r="N57">
        <v>10</v>
      </c>
      <c r="O57">
        <v>19</v>
      </c>
      <c r="P57" s="2">
        <f>K57/N57</f>
        <v>22.7</v>
      </c>
    </row>
    <row r="58" spans="1:16" x14ac:dyDescent="0.2">
      <c r="A58">
        <v>31217</v>
      </c>
      <c r="B58" t="s">
        <v>349</v>
      </c>
      <c r="C58">
        <v>4815</v>
      </c>
      <c r="D58" t="s">
        <v>350</v>
      </c>
      <c r="E58" t="s">
        <v>25</v>
      </c>
      <c r="F58" t="s">
        <v>18</v>
      </c>
      <c r="G58" t="s">
        <v>18</v>
      </c>
      <c r="I58" t="s">
        <v>346</v>
      </c>
      <c r="J58">
        <v>1716</v>
      </c>
      <c r="K58">
        <v>749</v>
      </c>
      <c r="L58">
        <v>34</v>
      </c>
      <c r="M58">
        <v>624</v>
      </c>
      <c r="N58">
        <v>91</v>
      </c>
      <c r="O58">
        <v>21</v>
      </c>
      <c r="P58" s="2">
        <f>K58/N58</f>
        <v>8.2307692307692299</v>
      </c>
    </row>
    <row r="59" spans="1:16" x14ac:dyDescent="0.2">
      <c r="A59">
        <v>31218</v>
      </c>
      <c r="B59" t="s">
        <v>351</v>
      </c>
      <c r="C59">
        <v>4816</v>
      </c>
      <c r="D59" t="s">
        <v>352</v>
      </c>
      <c r="E59" t="s">
        <v>25</v>
      </c>
      <c r="F59" t="s">
        <v>18</v>
      </c>
      <c r="G59" t="s">
        <v>18</v>
      </c>
      <c r="I59" t="s">
        <v>346</v>
      </c>
      <c r="J59">
        <v>452</v>
      </c>
      <c r="K59">
        <v>178</v>
      </c>
      <c r="L59">
        <v>32</v>
      </c>
      <c r="M59">
        <v>139</v>
      </c>
      <c r="N59">
        <v>23</v>
      </c>
      <c r="O59">
        <v>21</v>
      </c>
      <c r="P59" s="2">
        <f>K59/N59</f>
        <v>7.7391304347826084</v>
      </c>
    </row>
    <row r="60" spans="1:16" x14ac:dyDescent="0.2">
      <c r="A60">
        <v>31219</v>
      </c>
      <c r="B60" t="s">
        <v>353</v>
      </c>
      <c r="C60">
        <v>4817</v>
      </c>
      <c r="D60" t="s">
        <v>354</v>
      </c>
      <c r="E60" t="s">
        <v>25</v>
      </c>
      <c r="F60" t="s">
        <v>18</v>
      </c>
      <c r="G60" t="s">
        <v>18</v>
      </c>
      <c r="I60" t="s">
        <v>346</v>
      </c>
      <c r="J60">
        <v>7712</v>
      </c>
      <c r="K60">
        <v>2452</v>
      </c>
      <c r="L60">
        <v>34</v>
      </c>
      <c r="M60">
        <v>1419</v>
      </c>
      <c r="N60">
        <v>156</v>
      </c>
      <c r="O60">
        <v>21</v>
      </c>
      <c r="P60" s="2">
        <f>K60/N60</f>
        <v>15.717948717948717</v>
      </c>
    </row>
    <row r="61" spans="1:16" x14ac:dyDescent="0.2">
      <c r="A61">
        <v>31220</v>
      </c>
      <c r="B61" t="s">
        <v>355</v>
      </c>
      <c r="C61">
        <v>4818</v>
      </c>
      <c r="D61" t="s">
        <v>356</v>
      </c>
      <c r="E61" t="s">
        <v>25</v>
      </c>
      <c r="F61" t="s">
        <v>18</v>
      </c>
      <c r="G61" t="s">
        <v>18</v>
      </c>
      <c r="I61" t="s">
        <v>346</v>
      </c>
      <c r="J61">
        <v>105</v>
      </c>
      <c r="K61">
        <v>45</v>
      </c>
      <c r="L61">
        <v>22</v>
      </c>
      <c r="M61">
        <v>14</v>
      </c>
      <c r="N61">
        <v>4</v>
      </c>
      <c r="O61">
        <v>8</v>
      </c>
      <c r="P61" s="2">
        <f>K61/N61</f>
        <v>11.25</v>
      </c>
    </row>
    <row r="62" spans="1:16" x14ac:dyDescent="0.2">
      <c r="A62">
        <v>31221</v>
      </c>
      <c r="B62" t="s">
        <v>357</v>
      </c>
      <c r="C62">
        <v>4819</v>
      </c>
      <c r="D62" t="s">
        <v>358</v>
      </c>
      <c r="E62" t="s">
        <v>25</v>
      </c>
      <c r="F62" t="s">
        <v>18</v>
      </c>
      <c r="G62" t="s">
        <v>18</v>
      </c>
      <c r="I62" t="s">
        <v>346</v>
      </c>
      <c r="J62">
        <v>905</v>
      </c>
      <c r="K62">
        <v>514</v>
      </c>
      <c r="L62">
        <v>34</v>
      </c>
      <c r="M62">
        <v>536</v>
      </c>
      <c r="N62">
        <v>66</v>
      </c>
      <c r="O62">
        <v>21</v>
      </c>
      <c r="P62" s="2">
        <f>K62/N62</f>
        <v>7.7878787878787881</v>
      </c>
    </row>
    <row r="63" spans="1:16" x14ac:dyDescent="0.2">
      <c r="A63">
        <v>31222</v>
      </c>
      <c r="B63" t="s">
        <v>359</v>
      </c>
      <c r="C63">
        <v>4820</v>
      </c>
      <c r="D63" t="s">
        <v>360</v>
      </c>
      <c r="E63" t="s">
        <v>25</v>
      </c>
      <c r="F63" t="s">
        <v>18</v>
      </c>
      <c r="G63" t="s">
        <v>18</v>
      </c>
      <c r="I63" t="s">
        <v>283</v>
      </c>
      <c r="J63">
        <v>9037</v>
      </c>
      <c r="K63">
        <v>3222</v>
      </c>
      <c r="L63">
        <v>34</v>
      </c>
      <c r="M63">
        <v>1594</v>
      </c>
      <c r="N63">
        <v>167</v>
      </c>
      <c r="O63">
        <v>21</v>
      </c>
      <c r="P63" s="2">
        <f>K63/N63</f>
        <v>19.293413173652695</v>
      </c>
    </row>
    <row r="64" spans="1:16" x14ac:dyDescent="0.2">
      <c r="A64">
        <v>31223</v>
      </c>
      <c r="B64" t="s">
        <v>361</v>
      </c>
      <c r="C64">
        <v>4821</v>
      </c>
      <c r="D64" t="s">
        <v>362</v>
      </c>
      <c r="E64" t="s">
        <v>25</v>
      </c>
      <c r="F64" t="s">
        <v>18</v>
      </c>
      <c r="G64" t="s">
        <v>18</v>
      </c>
      <c r="I64" t="s">
        <v>346</v>
      </c>
      <c r="J64">
        <v>2301</v>
      </c>
      <c r="K64">
        <v>876</v>
      </c>
      <c r="L64">
        <v>34</v>
      </c>
      <c r="M64">
        <v>578</v>
      </c>
      <c r="N64">
        <v>77</v>
      </c>
      <c r="O64">
        <v>21</v>
      </c>
      <c r="P64" s="2">
        <f>K64/N64</f>
        <v>11.376623376623376</v>
      </c>
    </row>
    <row r="65" spans="1:16" x14ac:dyDescent="0.2">
      <c r="A65">
        <v>31224</v>
      </c>
      <c r="B65" t="s">
        <v>363</v>
      </c>
      <c r="C65">
        <v>4822</v>
      </c>
      <c r="D65" t="s">
        <v>364</v>
      </c>
      <c r="E65" t="s">
        <v>25</v>
      </c>
      <c r="F65" t="s">
        <v>18</v>
      </c>
      <c r="G65" t="s">
        <v>18</v>
      </c>
      <c r="I65" t="s">
        <v>283</v>
      </c>
      <c r="J65">
        <v>4709</v>
      </c>
      <c r="K65">
        <v>1349</v>
      </c>
      <c r="L65">
        <v>34</v>
      </c>
      <c r="M65">
        <v>314</v>
      </c>
      <c r="N65">
        <v>65</v>
      </c>
      <c r="O65">
        <v>21</v>
      </c>
      <c r="P65" s="2">
        <f>K65/N65</f>
        <v>20.753846153846155</v>
      </c>
    </row>
    <row r="66" spans="1:16" x14ac:dyDescent="0.2">
      <c r="A66">
        <v>31225</v>
      </c>
      <c r="B66" t="s">
        <v>365</v>
      </c>
      <c r="C66">
        <v>4823</v>
      </c>
      <c r="D66" t="s">
        <v>366</v>
      </c>
      <c r="E66" t="s">
        <v>25</v>
      </c>
      <c r="F66" t="s">
        <v>18</v>
      </c>
      <c r="G66" t="s">
        <v>18</v>
      </c>
      <c r="I66" t="s">
        <v>346</v>
      </c>
      <c r="J66">
        <v>6873</v>
      </c>
      <c r="K66">
        <v>1967</v>
      </c>
      <c r="L66">
        <v>34</v>
      </c>
      <c r="M66">
        <v>1221</v>
      </c>
      <c r="N66">
        <v>128</v>
      </c>
      <c r="O66">
        <v>21</v>
      </c>
      <c r="P66" s="2">
        <f>K66/N66</f>
        <v>15.3671875</v>
      </c>
    </row>
    <row r="67" spans="1:16" x14ac:dyDescent="0.2">
      <c r="A67">
        <v>31226</v>
      </c>
      <c r="B67" t="s">
        <v>367</v>
      </c>
      <c r="C67">
        <v>4824</v>
      </c>
      <c r="D67" t="s">
        <v>368</v>
      </c>
      <c r="E67" t="s">
        <v>25</v>
      </c>
      <c r="F67" t="s">
        <v>18</v>
      </c>
      <c r="G67" t="s">
        <v>18</v>
      </c>
      <c r="I67" t="s">
        <v>346</v>
      </c>
      <c r="J67">
        <v>1627</v>
      </c>
      <c r="K67">
        <v>710</v>
      </c>
      <c r="L67">
        <v>34</v>
      </c>
      <c r="M67">
        <v>343</v>
      </c>
      <c r="N67">
        <v>71</v>
      </c>
      <c r="O67">
        <v>21</v>
      </c>
      <c r="P67" s="2">
        <f>K67/N67</f>
        <v>10</v>
      </c>
    </row>
    <row r="68" spans="1:16" x14ac:dyDescent="0.2">
      <c r="A68">
        <v>31227</v>
      </c>
      <c r="B68" t="s">
        <v>369</v>
      </c>
      <c r="C68">
        <v>4825</v>
      </c>
      <c r="D68" t="s">
        <v>370</v>
      </c>
      <c r="E68" t="s">
        <v>25</v>
      </c>
      <c r="F68" t="s">
        <v>18</v>
      </c>
      <c r="G68" t="s">
        <v>18</v>
      </c>
      <c r="I68" t="s">
        <v>346</v>
      </c>
      <c r="J68">
        <v>850</v>
      </c>
      <c r="K68">
        <v>454</v>
      </c>
      <c r="L68">
        <v>34</v>
      </c>
      <c r="M68">
        <v>235</v>
      </c>
      <c r="N68">
        <v>46</v>
      </c>
      <c r="O68">
        <v>21</v>
      </c>
      <c r="P68" s="2">
        <f>K68/N68</f>
        <v>9.8695652173913047</v>
      </c>
    </row>
    <row r="69" spans="1:16" x14ac:dyDescent="0.2">
      <c r="A69">
        <v>31228</v>
      </c>
      <c r="B69" t="s">
        <v>371</v>
      </c>
      <c r="C69">
        <v>4826</v>
      </c>
      <c r="D69" t="s">
        <v>372</v>
      </c>
      <c r="E69" t="s">
        <v>25</v>
      </c>
      <c r="F69" t="s">
        <v>18</v>
      </c>
      <c r="G69" t="s">
        <v>18</v>
      </c>
      <c r="I69" t="s">
        <v>346</v>
      </c>
      <c r="J69">
        <v>1987</v>
      </c>
      <c r="K69">
        <v>955</v>
      </c>
      <c r="L69">
        <v>34</v>
      </c>
      <c r="M69">
        <v>579</v>
      </c>
      <c r="N69">
        <v>88</v>
      </c>
      <c r="O69">
        <v>21</v>
      </c>
      <c r="P69" s="2">
        <f>K69/N69</f>
        <v>10.852272727272727</v>
      </c>
    </row>
    <row r="70" spans="1:16" x14ac:dyDescent="0.2">
      <c r="A70">
        <v>31230</v>
      </c>
      <c r="B70" t="s">
        <v>373</v>
      </c>
      <c r="C70">
        <v>4828</v>
      </c>
      <c r="D70" t="s">
        <v>374</v>
      </c>
      <c r="E70" t="s">
        <v>25</v>
      </c>
      <c r="F70" t="s">
        <v>18</v>
      </c>
      <c r="G70" t="s">
        <v>18</v>
      </c>
      <c r="I70" t="s">
        <v>346</v>
      </c>
      <c r="J70">
        <v>3441</v>
      </c>
      <c r="K70">
        <v>1136</v>
      </c>
      <c r="L70">
        <v>34</v>
      </c>
      <c r="M70">
        <v>511</v>
      </c>
      <c r="N70">
        <v>70</v>
      </c>
      <c r="O70">
        <v>21</v>
      </c>
      <c r="P70" s="2">
        <f>K70/N70</f>
        <v>16.228571428571428</v>
      </c>
    </row>
    <row r="71" spans="1:16" x14ac:dyDescent="0.2">
      <c r="A71">
        <v>31231</v>
      </c>
      <c r="B71" t="s">
        <v>375</v>
      </c>
      <c r="C71">
        <v>4829</v>
      </c>
      <c r="D71" t="s">
        <v>376</v>
      </c>
      <c r="E71" t="s">
        <v>25</v>
      </c>
      <c r="F71" t="s">
        <v>18</v>
      </c>
      <c r="G71" t="s">
        <v>18</v>
      </c>
      <c r="I71" t="s">
        <v>346</v>
      </c>
      <c r="J71">
        <v>1405</v>
      </c>
      <c r="K71">
        <v>689</v>
      </c>
      <c r="L71">
        <v>33</v>
      </c>
      <c r="M71">
        <v>549</v>
      </c>
      <c r="N71">
        <v>80</v>
      </c>
      <c r="O71">
        <v>21</v>
      </c>
      <c r="P71" s="2">
        <f>K71/N71</f>
        <v>8.6125000000000007</v>
      </c>
    </row>
    <row r="72" spans="1:16" x14ac:dyDescent="0.2">
      <c r="A72">
        <v>31232</v>
      </c>
      <c r="B72" t="s">
        <v>377</v>
      </c>
      <c r="C72">
        <v>4830</v>
      </c>
      <c r="D72" t="s">
        <v>378</v>
      </c>
      <c r="E72" t="s">
        <v>25</v>
      </c>
      <c r="F72" t="s">
        <v>18</v>
      </c>
      <c r="G72" t="s">
        <v>18</v>
      </c>
      <c r="I72" t="s">
        <v>346</v>
      </c>
      <c r="J72">
        <v>2034</v>
      </c>
      <c r="K72">
        <v>872</v>
      </c>
      <c r="L72">
        <v>34</v>
      </c>
      <c r="M72">
        <v>518</v>
      </c>
      <c r="N72">
        <v>88</v>
      </c>
      <c r="O72">
        <v>21</v>
      </c>
      <c r="P72" s="2">
        <f>K72/N72</f>
        <v>9.9090909090909083</v>
      </c>
    </row>
    <row r="73" spans="1:16" x14ac:dyDescent="0.2">
      <c r="A73">
        <v>31233</v>
      </c>
      <c r="B73" t="s">
        <v>379</v>
      </c>
      <c r="C73">
        <v>4831</v>
      </c>
      <c r="D73" t="s">
        <v>380</v>
      </c>
      <c r="E73" t="s">
        <v>25</v>
      </c>
      <c r="F73" t="s">
        <v>18</v>
      </c>
      <c r="G73" t="s">
        <v>18</v>
      </c>
      <c r="I73" t="s">
        <v>346</v>
      </c>
      <c r="J73">
        <v>503</v>
      </c>
      <c r="K73">
        <v>302</v>
      </c>
      <c r="L73">
        <v>33</v>
      </c>
      <c r="M73">
        <v>272</v>
      </c>
      <c r="N73">
        <v>33</v>
      </c>
      <c r="O73">
        <v>21</v>
      </c>
      <c r="P73" s="2">
        <f>K73/N73</f>
        <v>9.1515151515151523</v>
      </c>
    </row>
    <row r="74" spans="1:16" x14ac:dyDescent="0.2">
      <c r="A74">
        <v>31234</v>
      </c>
      <c r="B74" t="s">
        <v>381</v>
      </c>
      <c r="C74">
        <v>4832</v>
      </c>
      <c r="D74" t="s">
        <v>382</v>
      </c>
      <c r="E74" t="s">
        <v>25</v>
      </c>
      <c r="F74" t="s">
        <v>18</v>
      </c>
      <c r="G74" t="s">
        <v>18</v>
      </c>
      <c r="I74" t="s">
        <v>346</v>
      </c>
      <c r="J74">
        <v>1846</v>
      </c>
      <c r="K74">
        <v>614</v>
      </c>
      <c r="L74">
        <v>34</v>
      </c>
      <c r="M74">
        <v>376</v>
      </c>
      <c r="N74">
        <v>55</v>
      </c>
      <c r="O74">
        <v>21</v>
      </c>
      <c r="P74" s="2">
        <f>K74/N74</f>
        <v>11.163636363636364</v>
      </c>
    </row>
    <row r="75" spans="1:16" x14ac:dyDescent="0.2">
      <c r="A75">
        <v>31235</v>
      </c>
      <c r="B75" t="s">
        <v>383</v>
      </c>
      <c r="C75">
        <v>4833</v>
      </c>
      <c r="D75" t="s">
        <v>384</v>
      </c>
      <c r="E75" t="s">
        <v>25</v>
      </c>
      <c r="F75" t="s">
        <v>18</v>
      </c>
      <c r="G75" t="s">
        <v>18</v>
      </c>
      <c r="I75" t="s">
        <v>71</v>
      </c>
      <c r="J75">
        <v>155</v>
      </c>
      <c r="K75">
        <v>40</v>
      </c>
      <c r="L75">
        <v>26</v>
      </c>
      <c r="M75">
        <v>8</v>
      </c>
      <c r="N75">
        <v>1</v>
      </c>
      <c r="O75">
        <v>3</v>
      </c>
      <c r="P75" s="2">
        <f>K75/N75</f>
        <v>40</v>
      </c>
    </row>
    <row r="76" spans="1:16" x14ac:dyDescent="0.2">
      <c r="A76">
        <v>31236</v>
      </c>
      <c r="B76" t="s">
        <v>385</v>
      </c>
      <c r="C76">
        <v>4834</v>
      </c>
      <c r="D76" t="s">
        <v>386</v>
      </c>
      <c r="E76" t="s">
        <v>25</v>
      </c>
      <c r="F76" t="s">
        <v>18</v>
      </c>
      <c r="G76" t="s">
        <v>18</v>
      </c>
      <c r="I76" t="s">
        <v>346</v>
      </c>
      <c r="J76">
        <v>1206</v>
      </c>
      <c r="K76">
        <v>42</v>
      </c>
      <c r="L76">
        <v>19</v>
      </c>
      <c r="M76">
        <v>14</v>
      </c>
      <c r="N76">
        <v>1</v>
      </c>
      <c r="O76">
        <v>4</v>
      </c>
      <c r="P76" s="2">
        <f>K76/N76</f>
        <v>42</v>
      </c>
    </row>
    <row r="77" spans="1:16" x14ac:dyDescent="0.2">
      <c r="A77">
        <v>31237</v>
      </c>
      <c r="B77" t="s">
        <v>387</v>
      </c>
      <c r="C77">
        <v>4835</v>
      </c>
      <c r="D77" t="s">
        <v>388</v>
      </c>
      <c r="E77" t="s">
        <v>25</v>
      </c>
      <c r="F77" t="s">
        <v>18</v>
      </c>
      <c r="G77" t="s">
        <v>18</v>
      </c>
      <c r="I77" t="s">
        <v>346</v>
      </c>
      <c r="J77">
        <v>846</v>
      </c>
      <c r="K77">
        <v>224</v>
      </c>
      <c r="L77">
        <v>33</v>
      </c>
      <c r="M77">
        <v>38</v>
      </c>
      <c r="N77">
        <v>12</v>
      </c>
      <c r="O77">
        <v>12</v>
      </c>
      <c r="P77" s="2">
        <f>K77/N77</f>
        <v>18.666666666666668</v>
      </c>
    </row>
    <row r="78" spans="1:16" x14ac:dyDescent="0.2">
      <c r="A78">
        <v>31238</v>
      </c>
      <c r="B78" t="s">
        <v>389</v>
      </c>
      <c r="C78">
        <v>4836</v>
      </c>
      <c r="D78" t="s">
        <v>390</v>
      </c>
      <c r="E78" t="s">
        <v>25</v>
      </c>
      <c r="F78" t="s">
        <v>18</v>
      </c>
      <c r="G78" t="s">
        <v>18</v>
      </c>
      <c r="I78" t="s">
        <v>346</v>
      </c>
      <c r="J78">
        <v>7455</v>
      </c>
      <c r="K78">
        <v>1888</v>
      </c>
      <c r="L78">
        <v>34</v>
      </c>
      <c r="M78">
        <v>1163</v>
      </c>
      <c r="N78">
        <v>99</v>
      </c>
      <c r="O78">
        <v>21</v>
      </c>
      <c r="P78" s="2">
        <f>K78/N78</f>
        <v>19.070707070707069</v>
      </c>
    </row>
    <row r="79" spans="1:16" x14ac:dyDescent="0.2">
      <c r="A79">
        <v>31005</v>
      </c>
      <c r="B79" t="s">
        <v>65</v>
      </c>
      <c r="C79">
        <v>4837</v>
      </c>
      <c r="D79" t="s">
        <v>66</v>
      </c>
      <c r="E79" t="s">
        <v>25</v>
      </c>
      <c r="F79" t="s">
        <v>18</v>
      </c>
      <c r="G79" t="s">
        <v>18</v>
      </c>
      <c r="I79" t="s">
        <v>58</v>
      </c>
      <c r="J79">
        <v>12688</v>
      </c>
      <c r="K79">
        <v>3886</v>
      </c>
      <c r="L79">
        <v>34</v>
      </c>
      <c r="M79">
        <v>1250</v>
      </c>
      <c r="N79">
        <v>227</v>
      </c>
      <c r="O79">
        <v>21</v>
      </c>
      <c r="P79" s="2">
        <f>K79/N79</f>
        <v>17.118942731277532</v>
      </c>
    </row>
    <row r="80" spans="1:16" x14ac:dyDescent="0.2">
      <c r="A80">
        <v>31057</v>
      </c>
      <c r="B80" t="s">
        <v>109</v>
      </c>
      <c r="C80">
        <v>4838</v>
      </c>
      <c r="D80" t="s">
        <v>110</v>
      </c>
      <c r="E80" t="s">
        <v>25</v>
      </c>
      <c r="F80" t="s">
        <v>18</v>
      </c>
      <c r="G80" t="s">
        <v>18</v>
      </c>
      <c r="I80" t="s">
        <v>102</v>
      </c>
      <c r="J80">
        <v>310</v>
      </c>
      <c r="K80">
        <v>196</v>
      </c>
      <c r="L80">
        <v>32</v>
      </c>
      <c r="M80">
        <v>35</v>
      </c>
      <c r="N80">
        <v>15</v>
      </c>
      <c r="O80">
        <v>12</v>
      </c>
      <c r="P80" s="2">
        <f>K80/N80</f>
        <v>13.066666666666666</v>
      </c>
    </row>
    <row r="81" spans="1:16" x14ac:dyDescent="0.2">
      <c r="A81">
        <v>31198</v>
      </c>
      <c r="B81" t="s">
        <v>326</v>
      </c>
      <c r="C81">
        <v>4839</v>
      </c>
      <c r="D81" t="s">
        <v>327</v>
      </c>
      <c r="E81" t="s">
        <v>25</v>
      </c>
      <c r="F81" t="s">
        <v>18</v>
      </c>
      <c r="G81" t="s">
        <v>18</v>
      </c>
      <c r="I81" t="s">
        <v>160</v>
      </c>
      <c r="J81">
        <v>7721</v>
      </c>
      <c r="K81">
        <v>1335</v>
      </c>
      <c r="L81">
        <v>34</v>
      </c>
      <c r="M81">
        <v>490</v>
      </c>
      <c r="N81">
        <v>97</v>
      </c>
      <c r="O81">
        <v>21</v>
      </c>
      <c r="P81" s="2">
        <f>K81/N81</f>
        <v>13.762886597938145</v>
      </c>
    </row>
    <row r="82" spans="1:16" x14ac:dyDescent="0.2">
      <c r="A82">
        <v>31171</v>
      </c>
      <c r="B82" t="s">
        <v>273</v>
      </c>
      <c r="C82">
        <v>4840</v>
      </c>
      <c r="D82" t="s">
        <v>274</v>
      </c>
      <c r="E82" t="s">
        <v>25</v>
      </c>
      <c r="F82" t="s">
        <v>18</v>
      </c>
      <c r="G82" t="s">
        <v>18</v>
      </c>
      <c r="I82" t="s">
        <v>33</v>
      </c>
      <c r="J82">
        <v>495</v>
      </c>
      <c r="K82">
        <v>311</v>
      </c>
      <c r="L82">
        <v>33</v>
      </c>
      <c r="M82">
        <v>193</v>
      </c>
      <c r="N82">
        <v>44</v>
      </c>
      <c r="O82">
        <v>21</v>
      </c>
      <c r="P82" s="2">
        <f>K82/N82</f>
        <v>7.0681818181818183</v>
      </c>
    </row>
    <row r="83" spans="1:16" x14ac:dyDescent="0.2">
      <c r="A83">
        <v>31172</v>
      </c>
      <c r="B83" t="s">
        <v>275</v>
      </c>
      <c r="C83">
        <v>4841</v>
      </c>
      <c r="D83" t="s">
        <v>276</v>
      </c>
      <c r="E83" t="s">
        <v>25</v>
      </c>
      <c r="F83" t="s">
        <v>18</v>
      </c>
      <c r="G83" t="s">
        <v>18</v>
      </c>
      <c r="I83" t="s">
        <v>160</v>
      </c>
      <c r="J83">
        <v>349</v>
      </c>
      <c r="K83">
        <v>177</v>
      </c>
      <c r="L83">
        <v>29</v>
      </c>
      <c r="M83">
        <v>68</v>
      </c>
      <c r="N83">
        <v>13</v>
      </c>
      <c r="O83">
        <v>19</v>
      </c>
      <c r="P83" s="2">
        <f>K83/N83</f>
        <v>13.615384615384615</v>
      </c>
    </row>
    <row r="84" spans="1:16" x14ac:dyDescent="0.2">
      <c r="A84">
        <v>31094</v>
      </c>
      <c r="B84" t="s">
        <v>156</v>
      </c>
      <c r="C84">
        <v>4842</v>
      </c>
      <c r="D84" t="s">
        <v>157</v>
      </c>
      <c r="E84" t="s">
        <v>25</v>
      </c>
      <c r="F84" t="s">
        <v>18</v>
      </c>
      <c r="G84" t="s">
        <v>18</v>
      </c>
      <c r="I84" t="s">
        <v>133</v>
      </c>
      <c r="J84">
        <v>1538</v>
      </c>
      <c r="K84">
        <v>477</v>
      </c>
      <c r="L84">
        <v>34</v>
      </c>
      <c r="M84">
        <v>48</v>
      </c>
      <c r="N84">
        <v>21</v>
      </c>
      <c r="O84">
        <v>18</v>
      </c>
      <c r="P84" s="2">
        <f>K84/N84</f>
        <v>22.714285714285715</v>
      </c>
    </row>
    <row r="85" spans="1:16" x14ac:dyDescent="0.2">
      <c r="A85">
        <v>31095</v>
      </c>
      <c r="B85" t="s">
        <v>158</v>
      </c>
      <c r="C85">
        <v>4845</v>
      </c>
      <c r="D85" t="s">
        <v>159</v>
      </c>
      <c r="E85" t="s">
        <v>25</v>
      </c>
      <c r="F85" t="s">
        <v>18</v>
      </c>
      <c r="G85" t="s">
        <v>18</v>
      </c>
      <c r="I85" t="s">
        <v>160</v>
      </c>
      <c r="J85">
        <v>3625</v>
      </c>
      <c r="K85">
        <v>1278</v>
      </c>
      <c r="L85">
        <v>34</v>
      </c>
      <c r="M85">
        <v>297</v>
      </c>
      <c r="N85">
        <v>78</v>
      </c>
      <c r="O85">
        <v>21</v>
      </c>
      <c r="P85" s="2">
        <f>K85/N85</f>
        <v>16.384615384615383</v>
      </c>
    </row>
    <row r="86" spans="1:16" x14ac:dyDescent="0.2">
      <c r="A86">
        <v>31007</v>
      </c>
      <c r="B86" t="s">
        <v>67</v>
      </c>
      <c r="C86">
        <v>4846</v>
      </c>
      <c r="D86" t="s">
        <v>68</v>
      </c>
      <c r="E86" t="s">
        <v>25</v>
      </c>
      <c r="F86" t="s">
        <v>18</v>
      </c>
      <c r="G86" t="s">
        <v>18</v>
      </c>
      <c r="I86" t="s">
        <v>58</v>
      </c>
      <c r="J86">
        <v>8569</v>
      </c>
      <c r="K86">
        <v>2838</v>
      </c>
      <c r="L86">
        <v>34</v>
      </c>
      <c r="M86">
        <v>1481</v>
      </c>
      <c r="N86">
        <v>203</v>
      </c>
      <c r="O86">
        <v>21</v>
      </c>
      <c r="P86" s="2">
        <f>K86/N86</f>
        <v>13.980295566502463</v>
      </c>
    </row>
    <row r="87" spans="1:16" x14ac:dyDescent="0.2">
      <c r="A87">
        <v>31008</v>
      </c>
      <c r="B87" t="s">
        <v>69</v>
      </c>
      <c r="C87">
        <v>4847</v>
      </c>
      <c r="D87" t="s">
        <v>70</v>
      </c>
      <c r="E87" t="s">
        <v>25</v>
      </c>
      <c r="F87" t="s">
        <v>18</v>
      </c>
      <c r="G87" t="s">
        <v>18</v>
      </c>
      <c r="I87" t="s">
        <v>71</v>
      </c>
      <c r="J87">
        <v>296</v>
      </c>
      <c r="K87">
        <v>126</v>
      </c>
      <c r="L87">
        <v>32</v>
      </c>
      <c r="M87">
        <v>47</v>
      </c>
      <c r="N87">
        <v>12</v>
      </c>
      <c r="O87">
        <v>16</v>
      </c>
      <c r="P87" s="2">
        <f>K87/N87</f>
        <v>10.5</v>
      </c>
    </row>
    <row r="88" spans="1:16" x14ac:dyDescent="0.2">
      <c r="A88">
        <v>31240</v>
      </c>
      <c r="B88" t="s">
        <v>391</v>
      </c>
      <c r="C88">
        <v>4850</v>
      </c>
      <c r="D88" t="s">
        <v>392</v>
      </c>
      <c r="E88" t="s">
        <v>25</v>
      </c>
      <c r="F88" t="s">
        <v>18</v>
      </c>
      <c r="G88" t="s">
        <v>18</v>
      </c>
      <c r="I88" t="s">
        <v>283</v>
      </c>
      <c r="J88">
        <v>432</v>
      </c>
      <c r="K88">
        <v>186</v>
      </c>
      <c r="L88">
        <v>31</v>
      </c>
      <c r="M88">
        <v>75</v>
      </c>
      <c r="N88">
        <v>16</v>
      </c>
      <c r="O88">
        <v>17</v>
      </c>
      <c r="P88" s="2">
        <f>K88/N88</f>
        <v>11.625</v>
      </c>
    </row>
    <row r="89" spans="1:16" x14ac:dyDescent="0.2">
      <c r="A89">
        <v>31260</v>
      </c>
      <c r="B89" t="s">
        <v>421</v>
      </c>
      <c r="C89">
        <v>4851</v>
      </c>
      <c r="D89" t="s">
        <v>422</v>
      </c>
      <c r="E89" t="s">
        <v>25</v>
      </c>
      <c r="F89" t="s">
        <v>18</v>
      </c>
      <c r="G89" t="s">
        <v>18</v>
      </c>
      <c r="I89" t="s">
        <v>283</v>
      </c>
      <c r="J89">
        <v>1364</v>
      </c>
      <c r="K89">
        <v>295</v>
      </c>
      <c r="L89">
        <v>34</v>
      </c>
      <c r="M89">
        <v>43</v>
      </c>
      <c r="N89">
        <v>9</v>
      </c>
      <c r="O89">
        <v>15</v>
      </c>
      <c r="P89" s="2">
        <f>K89/N89</f>
        <v>32.777777777777779</v>
      </c>
    </row>
    <row r="90" spans="1:16" x14ac:dyDescent="0.2">
      <c r="A90">
        <v>31241</v>
      </c>
      <c r="B90" t="s">
        <v>393</v>
      </c>
      <c r="C90">
        <v>4852</v>
      </c>
      <c r="D90" t="s">
        <v>394</v>
      </c>
      <c r="E90" t="s">
        <v>25</v>
      </c>
      <c r="F90" t="s">
        <v>18</v>
      </c>
      <c r="G90" t="s">
        <v>18</v>
      </c>
      <c r="I90" t="s">
        <v>283</v>
      </c>
      <c r="J90">
        <v>2178</v>
      </c>
      <c r="K90">
        <v>629</v>
      </c>
      <c r="L90">
        <v>34</v>
      </c>
      <c r="M90">
        <v>138</v>
      </c>
      <c r="N90">
        <v>26</v>
      </c>
      <c r="O90">
        <v>18</v>
      </c>
      <c r="P90" s="2">
        <f>K90/N90</f>
        <v>24.192307692307693</v>
      </c>
    </row>
    <row r="91" spans="1:16" x14ac:dyDescent="0.2">
      <c r="A91">
        <v>31242</v>
      </c>
      <c r="B91" t="s">
        <v>395</v>
      </c>
      <c r="C91">
        <v>4853</v>
      </c>
      <c r="D91" t="s">
        <v>396</v>
      </c>
      <c r="E91" t="s">
        <v>25</v>
      </c>
      <c r="F91" t="s">
        <v>18</v>
      </c>
      <c r="G91" t="s">
        <v>18</v>
      </c>
      <c r="I91" t="s">
        <v>71</v>
      </c>
      <c r="J91">
        <v>881</v>
      </c>
      <c r="K91">
        <v>183</v>
      </c>
      <c r="L91">
        <v>31</v>
      </c>
      <c r="M91">
        <v>6</v>
      </c>
      <c r="N91">
        <v>5</v>
      </c>
      <c r="O91">
        <v>5</v>
      </c>
      <c r="P91" s="2">
        <f>K91/N91</f>
        <v>36.6</v>
      </c>
    </row>
    <row r="92" spans="1:16" x14ac:dyDescent="0.2">
      <c r="A92">
        <v>31243</v>
      </c>
      <c r="B92" t="s">
        <v>397</v>
      </c>
      <c r="C92">
        <v>4854</v>
      </c>
      <c r="D92" t="s">
        <v>398</v>
      </c>
      <c r="E92" t="s">
        <v>25</v>
      </c>
      <c r="F92" t="s">
        <v>18</v>
      </c>
      <c r="G92" t="s">
        <v>18</v>
      </c>
      <c r="I92" t="s">
        <v>71</v>
      </c>
      <c r="J92">
        <v>1751</v>
      </c>
      <c r="K92">
        <v>589</v>
      </c>
      <c r="L92">
        <v>34</v>
      </c>
      <c r="M92">
        <v>122</v>
      </c>
      <c r="N92">
        <v>16</v>
      </c>
      <c r="O92">
        <v>19</v>
      </c>
      <c r="P92" s="2">
        <f>K92/N92</f>
        <v>36.8125</v>
      </c>
    </row>
    <row r="93" spans="1:16" x14ac:dyDescent="0.2">
      <c r="A93">
        <v>31173</v>
      </c>
      <c r="B93" t="s">
        <v>277</v>
      </c>
      <c r="C93">
        <v>4855</v>
      </c>
      <c r="D93" t="s">
        <v>278</v>
      </c>
      <c r="E93" t="s">
        <v>25</v>
      </c>
      <c r="F93" t="s">
        <v>18</v>
      </c>
      <c r="G93" t="s">
        <v>18</v>
      </c>
      <c r="I93" t="s">
        <v>89</v>
      </c>
      <c r="J93">
        <v>24161</v>
      </c>
      <c r="K93">
        <v>6796</v>
      </c>
      <c r="L93">
        <v>34</v>
      </c>
      <c r="M93">
        <v>1158</v>
      </c>
      <c r="N93">
        <v>294</v>
      </c>
      <c r="O93">
        <v>21</v>
      </c>
      <c r="P93" s="2">
        <f>K93/N93</f>
        <v>23.1156462585034</v>
      </c>
    </row>
    <row r="94" spans="1:16" x14ac:dyDescent="0.2">
      <c r="A94">
        <v>31096</v>
      </c>
      <c r="B94" t="s">
        <v>161</v>
      </c>
      <c r="C94">
        <v>4856</v>
      </c>
      <c r="D94" t="s">
        <v>162</v>
      </c>
      <c r="E94" t="s">
        <v>25</v>
      </c>
      <c r="F94" t="s">
        <v>18</v>
      </c>
      <c r="G94" t="s">
        <v>18</v>
      </c>
      <c r="I94" t="s">
        <v>71</v>
      </c>
      <c r="J94">
        <v>528</v>
      </c>
      <c r="K94">
        <v>68</v>
      </c>
      <c r="L94">
        <v>30</v>
      </c>
      <c r="M94">
        <v>4</v>
      </c>
      <c r="N94">
        <v>2</v>
      </c>
      <c r="O94">
        <v>3</v>
      </c>
      <c r="P94" s="2">
        <f>K94/N94</f>
        <v>34</v>
      </c>
    </row>
    <row r="95" spans="1:16" x14ac:dyDescent="0.2">
      <c r="A95">
        <v>31040</v>
      </c>
      <c r="B95" t="s">
        <v>87</v>
      </c>
      <c r="C95">
        <v>4857</v>
      </c>
      <c r="D95" t="s">
        <v>88</v>
      </c>
      <c r="E95" t="s">
        <v>25</v>
      </c>
      <c r="F95" t="s">
        <v>18</v>
      </c>
      <c r="G95" t="s">
        <v>18</v>
      </c>
      <c r="I95" t="s">
        <v>89</v>
      </c>
      <c r="J95">
        <v>6849</v>
      </c>
      <c r="K95">
        <v>1639</v>
      </c>
      <c r="L95">
        <v>34</v>
      </c>
      <c r="M95">
        <v>175</v>
      </c>
      <c r="N95">
        <v>45</v>
      </c>
      <c r="O95">
        <v>20</v>
      </c>
      <c r="P95" s="2">
        <f>K95/N95</f>
        <v>36.422222222222224</v>
      </c>
    </row>
    <row r="96" spans="1:16" x14ac:dyDescent="0.2">
      <c r="A96">
        <v>31174</v>
      </c>
      <c r="B96" t="s">
        <v>279</v>
      </c>
      <c r="C96">
        <v>4858</v>
      </c>
      <c r="D96" t="s">
        <v>280</v>
      </c>
      <c r="E96" t="s">
        <v>25</v>
      </c>
      <c r="F96" t="s">
        <v>18</v>
      </c>
      <c r="G96" t="s">
        <v>18</v>
      </c>
      <c r="I96" t="s">
        <v>160</v>
      </c>
      <c r="J96">
        <v>12430</v>
      </c>
      <c r="K96">
        <v>3814</v>
      </c>
      <c r="L96">
        <v>34</v>
      </c>
      <c r="M96">
        <v>1097</v>
      </c>
      <c r="N96">
        <v>230</v>
      </c>
      <c r="O96">
        <v>21</v>
      </c>
      <c r="P96" s="2">
        <f>K96/N96</f>
        <v>16.582608695652173</v>
      </c>
    </row>
    <row r="97" spans="1:16" x14ac:dyDescent="0.2">
      <c r="A97">
        <v>2</v>
      </c>
      <c r="B97" t="s">
        <v>20</v>
      </c>
      <c r="C97">
        <v>4861</v>
      </c>
      <c r="D97" t="s">
        <v>21</v>
      </c>
      <c r="E97" t="s">
        <v>22</v>
      </c>
      <c r="F97" t="s">
        <v>17</v>
      </c>
      <c r="G97" t="s">
        <v>18</v>
      </c>
      <c r="I97" t="s">
        <v>19</v>
      </c>
      <c r="J97">
        <v>451</v>
      </c>
      <c r="K97">
        <v>77</v>
      </c>
      <c r="L97">
        <v>34</v>
      </c>
      <c r="M97">
        <v>1</v>
      </c>
      <c r="N97">
        <v>1</v>
      </c>
      <c r="O97">
        <v>1</v>
      </c>
      <c r="P97" s="2">
        <f>K97/N97</f>
        <v>77</v>
      </c>
    </row>
    <row r="98" spans="1:16" x14ac:dyDescent="0.2">
      <c r="A98">
        <v>31097</v>
      </c>
      <c r="B98" t="s">
        <v>163</v>
      </c>
      <c r="C98">
        <v>4864</v>
      </c>
      <c r="D98" t="s">
        <v>164</v>
      </c>
      <c r="E98" t="s">
        <v>25</v>
      </c>
      <c r="F98" t="s">
        <v>18</v>
      </c>
      <c r="G98" t="s">
        <v>18</v>
      </c>
      <c r="I98" t="s">
        <v>133</v>
      </c>
      <c r="J98">
        <v>426</v>
      </c>
      <c r="K98">
        <v>205</v>
      </c>
      <c r="L98">
        <v>23</v>
      </c>
      <c r="M98">
        <v>17</v>
      </c>
      <c r="N98">
        <v>12</v>
      </c>
      <c r="O98">
        <v>5</v>
      </c>
      <c r="P98" s="2">
        <f>K98/N98</f>
        <v>17.083333333333332</v>
      </c>
    </row>
    <row r="99" spans="1:16" x14ac:dyDescent="0.2">
      <c r="A99">
        <v>31244</v>
      </c>
      <c r="B99" t="s">
        <v>399</v>
      </c>
      <c r="C99">
        <v>4865</v>
      </c>
      <c r="D99" t="s">
        <v>400</v>
      </c>
      <c r="E99" t="s">
        <v>25</v>
      </c>
      <c r="F99" t="s">
        <v>18</v>
      </c>
      <c r="G99" t="s">
        <v>18</v>
      </c>
      <c r="I99" t="s">
        <v>283</v>
      </c>
      <c r="J99">
        <v>11018</v>
      </c>
      <c r="K99">
        <v>4068</v>
      </c>
      <c r="L99">
        <v>34</v>
      </c>
      <c r="M99">
        <v>2203</v>
      </c>
      <c r="N99">
        <v>203</v>
      </c>
      <c r="O99">
        <v>21</v>
      </c>
      <c r="P99" s="2">
        <f>K99/N99</f>
        <v>20.039408866995075</v>
      </c>
    </row>
    <row r="100" spans="1:16" x14ac:dyDescent="0.2">
      <c r="A100">
        <v>31245</v>
      </c>
      <c r="B100" t="s">
        <v>401</v>
      </c>
      <c r="C100">
        <v>4866</v>
      </c>
      <c r="D100" t="s">
        <v>402</v>
      </c>
      <c r="E100" t="s">
        <v>25</v>
      </c>
      <c r="F100" t="s">
        <v>18</v>
      </c>
      <c r="G100" t="s">
        <v>18</v>
      </c>
      <c r="I100" t="s">
        <v>283</v>
      </c>
      <c r="J100">
        <v>26643</v>
      </c>
      <c r="K100">
        <v>5590</v>
      </c>
      <c r="L100">
        <v>34</v>
      </c>
      <c r="M100">
        <v>1780</v>
      </c>
      <c r="N100">
        <v>247</v>
      </c>
      <c r="O100">
        <v>21</v>
      </c>
      <c r="P100" s="2">
        <f>K100/N100</f>
        <v>22.631578947368421</v>
      </c>
    </row>
    <row r="101" spans="1:16" x14ac:dyDescent="0.2">
      <c r="A101">
        <v>31246</v>
      </c>
      <c r="B101" t="s">
        <v>403</v>
      </c>
      <c r="C101">
        <v>4867</v>
      </c>
      <c r="D101" t="s">
        <v>404</v>
      </c>
      <c r="E101" t="s">
        <v>25</v>
      </c>
      <c r="F101" t="s">
        <v>18</v>
      </c>
      <c r="G101" t="s">
        <v>18</v>
      </c>
      <c r="I101" t="s">
        <v>283</v>
      </c>
      <c r="J101">
        <v>2075</v>
      </c>
      <c r="K101">
        <v>1077</v>
      </c>
      <c r="L101">
        <v>34</v>
      </c>
      <c r="M101">
        <v>710</v>
      </c>
      <c r="N101">
        <v>124</v>
      </c>
      <c r="O101">
        <v>21</v>
      </c>
      <c r="P101" s="2">
        <f>K101/N101</f>
        <v>8.685483870967742</v>
      </c>
    </row>
    <row r="102" spans="1:16" x14ac:dyDescent="0.2">
      <c r="A102">
        <v>31059</v>
      </c>
      <c r="B102" t="s">
        <v>113</v>
      </c>
      <c r="C102">
        <v>4869</v>
      </c>
      <c r="D102" t="s">
        <v>114</v>
      </c>
      <c r="E102" t="s">
        <v>115</v>
      </c>
      <c r="F102" t="s">
        <v>18</v>
      </c>
      <c r="G102" t="s">
        <v>18</v>
      </c>
      <c r="I102" t="s">
        <v>102</v>
      </c>
      <c r="J102">
        <v>25739</v>
      </c>
      <c r="K102">
        <v>5604</v>
      </c>
      <c r="L102">
        <v>34</v>
      </c>
      <c r="M102">
        <v>2451</v>
      </c>
      <c r="N102">
        <v>274</v>
      </c>
      <c r="O102">
        <v>21</v>
      </c>
      <c r="P102" s="2">
        <f>K102/N102</f>
        <v>20.452554744525546</v>
      </c>
    </row>
    <row r="103" spans="1:16" x14ac:dyDescent="0.2">
      <c r="A103">
        <v>31150</v>
      </c>
      <c r="B103" t="s">
        <v>239</v>
      </c>
      <c r="C103">
        <v>4872</v>
      </c>
      <c r="D103" t="s">
        <v>240</v>
      </c>
      <c r="E103" t="s">
        <v>25</v>
      </c>
      <c r="F103" t="s">
        <v>18</v>
      </c>
      <c r="G103" t="s">
        <v>18</v>
      </c>
      <c r="I103" t="s">
        <v>71</v>
      </c>
      <c r="J103">
        <v>137</v>
      </c>
      <c r="K103">
        <v>56</v>
      </c>
      <c r="L103">
        <v>21</v>
      </c>
      <c r="M103">
        <v>4</v>
      </c>
      <c r="N103">
        <v>3</v>
      </c>
      <c r="O103">
        <v>3</v>
      </c>
      <c r="P103" s="2">
        <f>K103/N103</f>
        <v>18.666666666666668</v>
      </c>
    </row>
    <row r="104" spans="1:16" x14ac:dyDescent="0.2">
      <c r="A104">
        <v>31175</v>
      </c>
      <c r="B104" t="s">
        <v>281</v>
      </c>
      <c r="C104">
        <v>4873</v>
      </c>
      <c r="D104" t="s">
        <v>282</v>
      </c>
      <c r="E104" t="s">
        <v>25</v>
      </c>
      <c r="F104" t="s">
        <v>18</v>
      </c>
      <c r="G104" t="s">
        <v>18</v>
      </c>
      <c r="I104" t="s">
        <v>283</v>
      </c>
      <c r="J104">
        <v>14143</v>
      </c>
      <c r="K104">
        <v>3452</v>
      </c>
      <c r="L104">
        <v>34</v>
      </c>
      <c r="M104">
        <v>772</v>
      </c>
      <c r="N104">
        <v>163</v>
      </c>
      <c r="O104">
        <v>21</v>
      </c>
      <c r="P104" s="2">
        <f>K104/N104</f>
        <v>21.177914110429448</v>
      </c>
    </row>
    <row r="105" spans="1:16" x14ac:dyDescent="0.2">
      <c r="A105">
        <v>31176</v>
      </c>
      <c r="B105" t="s">
        <v>284</v>
      </c>
      <c r="C105">
        <v>4874</v>
      </c>
      <c r="D105" t="s">
        <v>285</v>
      </c>
      <c r="E105" t="s">
        <v>25</v>
      </c>
      <c r="F105" t="s">
        <v>18</v>
      </c>
      <c r="G105" t="s">
        <v>18</v>
      </c>
      <c r="I105" t="s">
        <v>26</v>
      </c>
      <c r="J105">
        <v>343</v>
      </c>
      <c r="K105">
        <v>246</v>
      </c>
      <c r="L105">
        <v>33</v>
      </c>
      <c r="M105">
        <v>18</v>
      </c>
      <c r="N105">
        <v>11</v>
      </c>
      <c r="O105">
        <v>10</v>
      </c>
      <c r="P105" s="2">
        <f>K105/N105</f>
        <v>22.363636363636363</v>
      </c>
    </row>
    <row r="106" spans="1:16" x14ac:dyDescent="0.2">
      <c r="A106">
        <v>31177</v>
      </c>
      <c r="B106" t="s">
        <v>286</v>
      </c>
      <c r="C106">
        <v>4875</v>
      </c>
      <c r="D106" t="s">
        <v>287</v>
      </c>
      <c r="E106" t="s">
        <v>25</v>
      </c>
      <c r="F106" t="s">
        <v>18</v>
      </c>
      <c r="G106" t="s">
        <v>18</v>
      </c>
      <c r="I106" t="s">
        <v>71</v>
      </c>
      <c r="J106">
        <v>1013</v>
      </c>
      <c r="K106">
        <v>300</v>
      </c>
      <c r="L106">
        <v>33</v>
      </c>
      <c r="M106">
        <v>18</v>
      </c>
      <c r="N106">
        <v>7</v>
      </c>
      <c r="O106">
        <v>9</v>
      </c>
      <c r="P106" s="2">
        <f>K106/N106</f>
        <v>42.857142857142854</v>
      </c>
    </row>
    <row r="107" spans="1:16" x14ac:dyDescent="0.2">
      <c r="A107">
        <v>31247</v>
      </c>
      <c r="B107" t="s">
        <v>405</v>
      </c>
      <c r="C107">
        <v>4876</v>
      </c>
      <c r="D107" t="s">
        <v>406</v>
      </c>
      <c r="E107" t="s">
        <v>25</v>
      </c>
      <c r="F107" t="s">
        <v>18</v>
      </c>
      <c r="G107" t="s">
        <v>18</v>
      </c>
      <c r="I107" t="s">
        <v>283</v>
      </c>
      <c r="J107">
        <v>4249</v>
      </c>
      <c r="K107">
        <v>377</v>
      </c>
      <c r="L107">
        <v>33</v>
      </c>
      <c r="M107">
        <v>22</v>
      </c>
      <c r="N107">
        <v>10</v>
      </c>
      <c r="O107">
        <v>12</v>
      </c>
      <c r="P107" s="2">
        <f>K107/N107</f>
        <v>37.700000000000003</v>
      </c>
    </row>
    <row r="108" spans="1:16" x14ac:dyDescent="0.2">
      <c r="A108">
        <v>31100</v>
      </c>
      <c r="B108" t="s">
        <v>169</v>
      </c>
      <c r="C108">
        <v>4877</v>
      </c>
      <c r="D108" t="s">
        <v>170</v>
      </c>
      <c r="E108" t="s">
        <v>25</v>
      </c>
      <c r="F108" t="s">
        <v>18</v>
      </c>
      <c r="G108" t="s">
        <v>18</v>
      </c>
      <c r="I108" t="s">
        <v>71</v>
      </c>
      <c r="J108">
        <v>1056</v>
      </c>
      <c r="K108">
        <v>413</v>
      </c>
      <c r="L108">
        <v>33</v>
      </c>
      <c r="M108">
        <v>100</v>
      </c>
      <c r="N108">
        <v>28</v>
      </c>
      <c r="O108">
        <v>21</v>
      </c>
      <c r="P108" s="2">
        <f>K108/N108</f>
        <v>14.75</v>
      </c>
    </row>
    <row r="109" spans="1:16" x14ac:dyDescent="0.2">
      <c r="A109">
        <v>31101</v>
      </c>
      <c r="B109" t="s">
        <v>171</v>
      </c>
      <c r="C109">
        <v>4878</v>
      </c>
      <c r="D109" t="s">
        <v>172</v>
      </c>
      <c r="E109" t="s">
        <v>25</v>
      </c>
      <c r="F109" t="s">
        <v>18</v>
      </c>
      <c r="G109" t="s">
        <v>18</v>
      </c>
      <c r="I109" t="s">
        <v>133</v>
      </c>
      <c r="J109">
        <v>591</v>
      </c>
      <c r="K109">
        <v>124</v>
      </c>
      <c r="L109">
        <v>27</v>
      </c>
      <c r="M109">
        <v>0</v>
      </c>
      <c r="N109">
        <v>0</v>
      </c>
      <c r="O109">
        <v>0</v>
      </c>
      <c r="P109" s="3">
        <v>0</v>
      </c>
    </row>
    <row r="110" spans="1:16" x14ac:dyDescent="0.2">
      <c r="A110">
        <v>31102</v>
      </c>
      <c r="B110" t="s">
        <v>173</v>
      </c>
      <c r="C110">
        <v>4879</v>
      </c>
      <c r="D110" t="s">
        <v>174</v>
      </c>
      <c r="E110" t="s">
        <v>25</v>
      </c>
      <c r="F110" t="s">
        <v>18</v>
      </c>
      <c r="G110" t="s">
        <v>18</v>
      </c>
      <c r="I110" t="s">
        <v>133</v>
      </c>
      <c r="J110">
        <v>3292</v>
      </c>
      <c r="K110">
        <v>377</v>
      </c>
      <c r="L110">
        <v>34</v>
      </c>
      <c r="M110">
        <v>45</v>
      </c>
      <c r="N110">
        <v>17</v>
      </c>
      <c r="O110">
        <v>18</v>
      </c>
      <c r="P110" s="2">
        <f>K110/N110</f>
        <v>22.176470588235293</v>
      </c>
    </row>
    <row r="111" spans="1:16" x14ac:dyDescent="0.2">
      <c r="A111">
        <v>31103</v>
      </c>
      <c r="B111" t="s">
        <v>175</v>
      </c>
      <c r="C111">
        <v>4880</v>
      </c>
      <c r="D111" t="s">
        <v>176</v>
      </c>
      <c r="E111" t="s">
        <v>25</v>
      </c>
      <c r="F111" t="s">
        <v>18</v>
      </c>
      <c r="G111" t="s">
        <v>18</v>
      </c>
      <c r="I111" t="s">
        <v>133</v>
      </c>
      <c r="J111">
        <v>5804</v>
      </c>
      <c r="K111">
        <v>2120</v>
      </c>
      <c r="L111">
        <v>34</v>
      </c>
      <c r="M111">
        <v>702</v>
      </c>
      <c r="N111">
        <v>123</v>
      </c>
      <c r="O111">
        <v>21</v>
      </c>
      <c r="P111" s="2">
        <f>K111/N111</f>
        <v>17.235772357723576</v>
      </c>
    </row>
    <row r="112" spans="1:16" x14ac:dyDescent="0.2">
      <c r="A112">
        <v>31107</v>
      </c>
      <c r="B112" t="s">
        <v>181</v>
      </c>
      <c r="C112">
        <v>4883</v>
      </c>
      <c r="D112" t="s">
        <v>182</v>
      </c>
      <c r="E112" t="s">
        <v>25</v>
      </c>
      <c r="F112" t="s">
        <v>18</v>
      </c>
      <c r="G112" t="s">
        <v>18</v>
      </c>
      <c r="I112" t="s">
        <v>33</v>
      </c>
      <c r="J112">
        <v>5235</v>
      </c>
      <c r="K112">
        <v>1712</v>
      </c>
      <c r="L112">
        <v>34</v>
      </c>
      <c r="M112">
        <v>847</v>
      </c>
      <c r="N112">
        <v>89</v>
      </c>
      <c r="O112">
        <v>21</v>
      </c>
      <c r="P112" s="2">
        <f>K112/N112</f>
        <v>19.235955056179776</v>
      </c>
    </row>
    <row r="113" spans="1:16" x14ac:dyDescent="0.2">
      <c r="A113">
        <v>31135</v>
      </c>
      <c r="B113" t="s">
        <v>231</v>
      </c>
      <c r="C113">
        <v>4885</v>
      </c>
      <c r="D113" t="s">
        <v>232</v>
      </c>
      <c r="E113" t="s">
        <v>233</v>
      </c>
      <c r="F113" t="s">
        <v>18</v>
      </c>
      <c r="G113" t="s">
        <v>18</v>
      </c>
      <c r="I113" t="s">
        <v>102</v>
      </c>
      <c r="J113">
        <v>1672</v>
      </c>
      <c r="K113">
        <v>430</v>
      </c>
      <c r="L113">
        <v>34</v>
      </c>
      <c r="M113">
        <v>51</v>
      </c>
      <c r="N113">
        <v>20</v>
      </c>
      <c r="O113">
        <v>19</v>
      </c>
      <c r="P113" s="2">
        <f>K113/N113</f>
        <v>21.5</v>
      </c>
    </row>
    <row r="114" spans="1:16" x14ac:dyDescent="0.2">
      <c r="A114">
        <v>31111</v>
      </c>
      <c r="B114" t="s">
        <v>187</v>
      </c>
      <c r="C114">
        <v>4886</v>
      </c>
      <c r="D114" t="s">
        <v>188</v>
      </c>
      <c r="E114" t="s">
        <v>25</v>
      </c>
      <c r="F114" t="s">
        <v>18</v>
      </c>
      <c r="G114" t="s">
        <v>18</v>
      </c>
      <c r="I114" t="s">
        <v>133</v>
      </c>
      <c r="J114">
        <v>4805</v>
      </c>
      <c r="K114">
        <v>2143</v>
      </c>
      <c r="L114">
        <v>34</v>
      </c>
      <c r="M114">
        <v>751</v>
      </c>
      <c r="N114">
        <v>140</v>
      </c>
      <c r="O114">
        <v>21</v>
      </c>
      <c r="P114" s="2">
        <f>K114/N114</f>
        <v>15.307142857142857</v>
      </c>
    </row>
    <row r="115" spans="1:16" x14ac:dyDescent="0.2">
      <c r="A115">
        <v>31112</v>
      </c>
      <c r="B115" t="s">
        <v>189</v>
      </c>
      <c r="C115">
        <v>4887</v>
      </c>
      <c r="D115" t="s">
        <v>190</v>
      </c>
      <c r="E115" t="s">
        <v>25</v>
      </c>
      <c r="F115" t="s">
        <v>18</v>
      </c>
      <c r="G115" t="s">
        <v>18</v>
      </c>
      <c r="I115" t="s">
        <v>133</v>
      </c>
      <c r="J115">
        <v>14590</v>
      </c>
      <c r="K115">
        <v>489</v>
      </c>
      <c r="L115">
        <v>34</v>
      </c>
      <c r="M115">
        <v>60</v>
      </c>
      <c r="N115">
        <v>9</v>
      </c>
      <c r="O115">
        <v>12</v>
      </c>
      <c r="P115" s="2">
        <f>K115/N115</f>
        <v>54.333333333333336</v>
      </c>
    </row>
    <row r="116" spans="1:16" x14ac:dyDescent="0.2">
      <c r="A116">
        <v>31114</v>
      </c>
      <c r="B116" t="s">
        <v>191</v>
      </c>
      <c r="C116">
        <v>4889</v>
      </c>
      <c r="D116" t="s">
        <v>192</v>
      </c>
      <c r="E116" t="s">
        <v>25</v>
      </c>
      <c r="F116" t="s">
        <v>18</v>
      </c>
      <c r="G116" t="s">
        <v>18</v>
      </c>
      <c r="I116" t="s">
        <v>133</v>
      </c>
      <c r="J116">
        <v>6629</v>
      </c>
      <c r="K116">
        <v>338</v>
      </c>
      <c r="L116">
        <v>32</v>
      </c>
      <c r="M116">
        <v>49</v>
      </c>
      <c r="N116">
        <v>9</v>
      </c>
      <c r="O116">
        <v>14</v>
      </c>
      <c r="P116" s="2">
        <f>K116/N116</f>
        <v>37.555555555555557</v>
      </c>
    </row>
    <row r="117" spans="1:16" x14ac:dyDescent="0.2">
      <c r="A117">
        <v>31248</v>
      </c>
      <c r="B117" t="s">
        <v>407</v>
      </c>
      <c r="C117">
        <v>4890</v>
      </c>
      <c r="D117" t="s">
        <v>408</v>
      </c>
      <c r="E117" t="s">
        <v>25</v>
      </c>
      <c r="F117" t="s">
        <v>18</v>
      </c>
      <c r="G117" t="s">
        <v>18</v>
      </c>
      <c r="I117" t="s">
        <v>283</v>
      </c>
      <c r="J117">
        <v>106800</v>
      </c>
      <c r="K117">
        <v>10453</v>
      </c>
      <c r="L117">
        <v>34</v>
      </c>
      <c r="M117">
        <v>4415</v>
      </c>
      <c r="N117">
        <v>293</v>
      </c>
      <c r="O117">
        <v>21</v>
      </c>
      <c r="P117" s="2">
        <f>K117/N117</f>
        <v>35.675767918088738</v>
      </c>
    </row>
    <row r="118" spans="1:16" x14ac:dyDescent="0.2">
      <c r="A118">
        <v>31249</v>
      </c>
      <c r="B118" t="s">
        <v>409</v>
      </c>
      <c r="C118">
        <v>4891</v>
      </c>
      <c r="D118" t="s">
        <v>410</v>
      </c>
      <c r="E118" t="s">
        <v>25</v>
      </c>
      <c r="F118" t="s">
        <v>18</v>
      </c>
      <c r="G118" t="s">
        <v>18</v>
      </c>
      <c r="I118" t="s">
        <v>89</v>
      </c>
      <c r="J118">
        <v>66502</v>
      </c>
      <c r="K118">
        <v>9229</v>
      </c>
      <c r="L118">
        <v>34</v>
      </c>
      <c r="M118">
        <v>2583</v>
      </c>
      <c r="N118">
        <v>279</v>
      </c>
      <c r="O118">
        <v>21</v>
      </c>
      <c r="P118" s="2">
        <f>K118/N118</f>
        <v>33.078853046594979</v>
      </c>
    </row>
    <row r="119" spans="1:16" x14ac:dyDescent="0.2">
      <c r="A119">
        <v>31182</v>
      </c>
      <c r="B119" t="s">
        <v>296</v>
      </c>
      <c r="C119">
        <v>4892</v>
      </c>
      <c r="D119" t="s">
        <v>297</v>
      </c>
      <c r="E119" t="s">
        <v>25</v>
      </c>
      <c r="F119" t="s">
        <v>18</v>
      </c>
      <c r="G119" t="s">
        <v>18</v>
      </c>
      <c r="I119" t="s">
        <v>160</v>
      </c>
      <c r="J119">
        <v>98</v>
      </c>
      <c r="K119">
        <v>45</v>
      </c>
      <c r="L119">
        <v>25</v>
      </c>
      <c r="M119">
        <v>27</v>
      </c>
      <c r="N119">
        <v>7</v>
      </c>
      <c r="O119">
        <v>9</v>
      </c>
      <c r="P119" s="2">
        <f>K119/N119</f>
        <v>6.4285714285714288</v>
      </c>
    </row>
    <row r="120" spans="1:16" x14ac:dyDescent="0.2">
      <c r="A120">
        <v>31183</v>
      </c>
      <c r="B120" t="s">
        <v>298</v>
      </c>
      <c r="C120">
        <v>4893</v>
      </c>
      <c r="D120" t="s">
        <v>299</v>
      </c>
      <c r="E120" t="s">
        <v>300</v>
      </c>
      <c r="F120" t="s">
        <v>18</v>
      </c>
      <c r="G120" t="s">
        <v>18</v>
      </c>
      <c r="I120" t="s">
        <v>160</v>
      </c>
      <c r="J120">
        <v>19514</v>
      </c>
      <c r="K120">
        <v>4363</v>
      </c>
      <c r="L120">
        <v>34</v>
      </c>
      <c r="M120">
        <v>1531</v>
      </c>
      <c r="N120">
        <v>179</v>
      </c>
      <c r="O120">
        <v>21</v>
      </c>
      <c r="P120" s="2">
        <f>K120/N120</f>
        <v>24.374301675977655</v>
      </c>
    </row>
    <row r="121" spans="1:16" x14ac:dyDescent="0.2">
      <c r="A121">
        <v>31184</v>
      </c>
      <c r="B121" t="s">
        <v>301</v>
      </c>
      <c r="C121">
        <v>4894</v>
      </c>
      <c r="D121" t="s">
        <v>302</v>
      </c>
      <c r="E121" t="s">
        <v>25</v>
      </c>
      <c r="F121" t="s">
        <v>18</v>
      </c>
      <c r="G121" t="s">
        <v>18</v>
      </c>
      <c r="I121" t="s">
        <v>160</v>
      </c>
      <c r="J121">
        <v>467</v>
      </c>
      <c r="K121">
        <v>220</v>
      </c>
      <c r="L121">
        <v>33</v>
      </c>
      <c r="M121">
        <v>38</v>
      </c>
      <c r="N121">
        <v>8</v>
      </c>
      <c r="O121">
        <v>11</v>
      </c>
      <c r="P121" s="2">
        <f>K121/N121</f>
        <v>27.5</v>
      </c>
    </row>
    <row r="122" spans="1:16" x14ac:dyDescent="0.2">
      <c r="A122">
        <v>31178</v>
      </c>
      <c r="B122" t="s">
        <v>288</v>
      </c>
      <c r="C122">
        <v>4896</v>
      </c>
      <c r="D122" t="s">
        <v>289</v>
      </c>
      <c r="E122" t="s">
        <v>25</v>
      </c>
      <c r="F122" t="s">
        <v>18</v>
      </c>
      <c r="G122" t="s">
        <v>18</v>
      </c>
      <c r="I122" t="s">
        <v>160</v>
      </c>
      <c r="J122">
        <v>3597</v>
      </c>
      <c r="K122">
        <v>844</v>
      </c>
      <c r="L122">
        <v>34</v>
      </c>
      <c r="M122">
        <v>91</v>
      </c>
      <c r="N122">
        <v>27</v>
      </c>
      <c r="O122">
        <v>21</v>
      </c>
      <c r="P122" s="2">
        <f>K122/N122</f>
        <v>31.25925925925926</v>
      </c>
    </row>
    <row r="123" spans="1:16" x14ac:dyDescent="0.2">
      <c r="A123">
        <v>31186</v>
      </c>
      <c r="B123" t="s">
        <v>303</v>
      </c>
      <c r="C123">
        <v>4897</v>
      </c>
      <c r="D123" t="s">
        <v>304</v>
      </c>
      <c r="E123" t="s">
        <v>25</v>
      </c>
      <c r="F123" t="s">
        <v>18</v>
      </c>
      <c r="G123" t="s">
        <v>18</v>
      </c>
      <c r="I123" t="s">
        <v>160</v>
      </c>
      <c r="J123">
        <v>789</v>
      </c>
      <c r="K123">
        <v>55</v>
      </c>
      <c r="L123">
        <v>27</v>
      </c>
      <c r="M123">
        <v>4</v>
      </c>
      <c r="N123">
        <v>1</v>
      </c>
      <c r="O123">
        <v>3</v>
      </c>
      <c r="P123" s="2">
        <f>K123/N123</f>
        <v>55</v>
      </c>
    </row>
    <row r="124" spans="1:16" x14ac:dyDescent="0.2">
      <c r="A124">
        <v>31179</v>
      </c>
      <c r="B124" t="s">
        <v>290</v>
      </c>
      <c r="C124">
        <v>4898</v>
      </c>
      <c r="D124" t="s">
        <v>291</v>
      </c>
      <c r="E124" t="s">
        <v>25</v>
      </c>
      <c r="F124" t="s">
        <v>18</v>
      </c>
      <c r="G124" t="s">
        <v>18</v>
      </c>
      <c r="I124" t="s">
        <v>160</v>
      </c>
      <c r="J124">
        <v>14475</v>
      </c>
      <c r="K124">
        <v>3386</v>
      </c>
      <c r="L124">
        <v>34</v>
      </c>
      <c r="M124">
        <v>1062</v>
      </c>
      <c r="N124">
        <v>155</v>
      </c>
      <c r="O124">
        <v>21</v>
      </c>
      <c r="P124" s="2">
        <f>K124/N124</f>
        <v>21.845161290322579</v>
      </c>
    </row>
    <row r="125" spans="1:16" x14ac:dyDescent="0.2">
      <c r="A125">
        <v>31180</v>
      </c>
      <c r="B125" t="s">
        <v>292</v>
      </c>
      <c r="C125">
        <v>4899</v>
      </c>
      <c r="D125" t="s">
        <v>293</v>
      </c>
      <c r="E125" t="s">
        <v>25</v>
      </c>
      <c r="F125" t="s">
        <v>18</v>
      </c>
      <c r="G125" t="s">
        <v>18</v>
      </c>
      <c r="I125" t="s">
        <v>160</v>
      </c>
      <c r="J125">
        <v>5593</v>
      </c>
      <c r="K125">
        <v>1006</v>
      </c>
      <c r="L125">
        <v>34</v>
      </c>
      <c r="M125">
        <v>159</v>
      </c>
      <c r="N125">
        <v>23</v>
      </c>
      <c r="O125">
        <v>21</v>
      </c>
      <c r="P125" s="2">
        <f>K125/N125</f>
        <v>43.739130434782609</v>
      </c>
    </row>
    <row r="126" spans="1:16" x14ac:dyDescent="0.2">
      <c r="A126">
        <v>31187</v>
      </c>
      <c r="B126" t="s">
        <v>305</v>
      </c>
      <c r="C126">
        <v>4900</v>
      </c>
      <c r="D126" t="s">
        <v>306</v>
      </c>
      <c r="E126" t="s">
        <v>25</v>
      </c>
      <c r="F126" t="s">
        <v>18</v>
      </c>
      <c r="G126" t="s">
        <v>18</v>
      </c>
      <c r="I126" t="s">
        <v>160</v>
      </c>
      <c r="J126">
        <v>6520</v>
      </c>
      <c r="K126">
        <v>739</v>
      </c>
      <c r="L126">
        <v>34</v>
      </c>
      <c r="M126">
        <v>102</v>
      </c>
      <c r="N126">
        <v>26</v>
      </c>
      <c r="O126">
        <v>18</v>
      </c>
      <c r="P126" s="2">
        <f>K126/N126</f>
        <v>28.423076923076923</v>
      </c>
    </row>
    <row r="127" spans="1:16" x14ac:dyDescent="0.2">
      <c r="A127">
        <v>31181</v>
      </c>
      <c r="B127" t="s">
        <v>294</v>
      </c>
      <c r="C127">
        <v>4901</v>
      </c>
      <c r="D127" t="s">
        <v>295</v>
      </c>
      <c r="E127" t="s">
        <v>25</v>
      </c>
      <c r="F127" t="s">
        <v>18</v>
      </c>
      <c r="G127" t="s">
        <v>18</v>
      </c>
      <c r="I127" t="s">
        <v>160</v>
      </c>
      <c r="J127">
        <v>2992</v>
      </c>
      <c r="K127">
        <v>941</v>
      </c>
      <c r="L127">
        <v>34</v>
      </c>
      <c r="M127">
        <v>203</v>
      </c>
      <c r="N127">
        <v>49</v>
      </c>
      <c r="O127">
        <v>21</v>
      </c>
      <c r="P127" s="2">
        <f>K127/N127</f>
        <v>19.204081632653061</v>
      </c>
    </row>
    <row r="128" spans="1:16" x14ac:dyDescent="0.2">
      <c r="A128">
        <v>31188</v>
      </c>
      <c r="B128" t="s">
        <v>307</v>
      </c>
      <c r="C128">
        <v>4902</v>
      </c>
      <c r="D128" t="s">
        <v>308</v>
      </c>
      <c r="E128" t="s">
        <v>25</v>
      </c>
      <c r="F128" t="s">
        <v>18</v>
      </c>
      <c r="G128" t="s">
        <v>18</v>
      </c>
      <c r="I128" t="s">
        <v>160</v>
      </c>
      <c r="J128">
        <v>908</v>
      </c>
      <c r="K128">
        <v>367</v>
      </c>
      <c r="L128">
        <v>34</v>
      </c>
      <c r="M128">
        <v>146</v>
      </c>
      <c r="N128">
        <v>29</v>
      </c>
      <c r="O128">
        <v>20</v>
      </c>
      <c r="P128" s="2">
        <f>K128/N128</f>
        <v>12.655172413793103</v>
      </c>
    </row>
    <row r="129" spans="1:16" x14ac:dyDescent="0.2">
      <c r="A129">
        <v>31250</v>
      </c>
      <c r="B129" t="s">
        <v>411</v>
      </c>
      <c r="C129">
        <v>4903</v>
      </c>
      <c r="D129" t="s">
        <v>412</v>
      </c>
      <c r="E129" t="s">
        <v>25</v>
      </c>
      <c r="F129" t="s">
        <v>18</v>
      </c>
      <c r="G129" t="s">
        <v>18</v>
      </c>
      <c r="I129" t="s">
        <v>283</v>
      </c>
      <c r="J129">
        <v>5201</v>
      </c>
      <c r="K129">
        <v>882</v>
      </c>
      <c r="L129">
        <v>34</v>
      </c>
      <c r="M129">
        <v>239</v>
      </c>
      <c r="N129">
        <v>34</v>
      </c>
      <c r="O129">
        <v>21</v>
      </c>
      <c r="P129" s="2">
        <f>K129/N129</f>
        <v>25.941176470588236</v>
      </c>
    </row>
    <row r="130" spans="1:16" x14ac:dyDescent="0.2">
      <c r="A130">
        <v>31126</v>
      </c>
      <c r="B130" t="s">
        <v>215</v>
      </c>
      <c r="C130">
        <v>4904</v>
      </c>
      <c r="D130" t="s">
        <v>216</v>
      </c>
      <c r="E130" t="s">
        <v>25</v>
      </c>
      <c r="F130" t="s">
        <v>18</v>
      </c>
      <c r="G130" t="s">
        <v>18</v>
      </c>
      <c r="I130" t="s">
        <v>26</v>
      </c>
      <c r="J130">
        <v>1051</v>
      </c>
      <c r="K130">
        <v>496</v>
      </c>
      <c r="L130">
        <v>34</v>
      </c>
      <c r="M130">
        <v>35</v>
      </c>
      <c r="N130">
        <v>22</v>
      </c>
      <c r="O130">
        <v>16</v>
      </c>
      <c r="P130" s="2">
        <f>K130/N130</f>
        <v>22.545454545454547</v>
      </c>
    </row>
    <row r="131" spans="1:16" x14ac:dyDescent="0.2">
      <c r="A131">
        <v>31190</v>
      </c>
      <c r="B131" t="s">
        <v>311</v>
      </c>
      <c r="C131">
        <v>4905</v>
      </c>
      <c r="D131" t="s">
        <v>312</v>
      </c>
      <c r="E131" t="s">
        <v>25</v>
      </c>
      <c r="F131" t="s">
        <v>18</v>
      </c>
      <c r="G131" t="s">
        <v>18</v>
      </c>
      <c r="I131" t="s">
        <v>71</v>
      </c>
      <c r="J131">
        <v>250</v>
      </c>
      <c r="K131">
        <v>101</v>
      </c>
      <c r="L131">
        <v>26</v>
      </c>
      <c r="M131">
        <v>14</v>
      </c>
      <c r="N131">
        <v>2</v>
      </c>
      <c r="O131">
        <v>5</v>
      </c>
      <c r="P131" s="2">
        <f>K131/N131</f>
        <v>50.5</v>
      </c>
    </row>
    <row r="132" spans="1:16" x14ac:dyDescent="0.2">
      <c r="A132">
        <v>31191</v>
      </c>
      <c r="B132" t="s">
        <v>313</v>
      </c>
      <c r="C132">
        <v>4906</v>
      </c>
      <c r="D132" t="s">
        <v>314</v>
      </c>
      <c r="E132" t="s">
        <v>25</v>
      </c>
      <c r="F132" t="s">
        <v>18</v>
      </c>
      <c r="G132" t="s">
        <v>18</v>
      </c>
      <c r="I132" t="s">
        <v>89</v>
      </c>
      <c r="J132">
        <v>4773</v>
      </c>
      <c r="K132">
        <v>2581</v>
      </c>
      <c r="L132">
        <v>34</v>
      </c>
      <c r="M132">
        <v>232</v>
      </c>
      <c r="N132">
        <v>108</v>
      </c>
      <c r="O132">
        <v>21</v>
      </c>
      <c r="P132" s="2">
        <f>K132/N132</f>
        <v>23.898148148148149</v>
      </c>
    </row>
    <row r="133" spans="1:16" x14ac:dyDescent="0.2">
      <c r="A133">
        <v>31192</v>
      </c>
      <c r="B133" t="s">
        <v>315</v>
      </c>
      <c r="C133">
        <v>4907</v>
      </c>
      <c r="D133" t="s">
        <v>316</v>
      </c>
      <c r="E133" t="s">
        <v>25</v>
      </c>
      <c r="F133" t="s">
        <v>18</v>
      </c>
      <c r="G133" t="s">
        <v>18</v>
      </c>
      <c r="I133" t="s">
        <v>89</v>
      </c>
      <c r="J133">
        <v>4031</v>
      </c>
      <c r="K133">
        <v>1943</v>
      </c>
      <c r="L133">
        <v>34</v>
      </c>
      <c r="M133">
        <v>99</v>
      </c>
      <c r="N133">
        <v>78</v>
      </c>
      <c r="O133">
        <v>21</v>
      </c>
      <c r="P133" s="2">
        <f>K133/N133</f>
        <v>24.910256410256409</v>
      </c>
    </row>
    <row r="134" spans="1:16" x14ac:dyDescent="0.2">
      <c r="A134">
        <v>31009</v>
      </c>
      <c r="B134" t="s">
        <v>72</v>
      </c>
      <c r="C134">
        <v>4908</v>
      </c>
      <c r="D134" t="s">
        <v>73</v>
      </c>
      <c r="E134" t="s">
        <v>25</v>
      </c>
      <c r="F134" t="s">
        <v>18</v>
      </c>
      <c r="G134" t="s">
        <v>18</v>
      </c>
      <c r="I134" t="s">
        <v>58</v>
      </c>
      <c r="J134">
        <v>29064</v>
      </c>
      <c r="K134">
        <v>6597</v>
      </c>
      <c r="L134">
        <v>34</v>
      </c>
      <c r="M134">
        <v>2259</v>
      </c>
      <c r="N134">
        <v>300</v>
      </c>
      <c r="O134">
        <v>21</v>
      </c>
      <c r="P134" s="2">
        <f>K134/N134</f>
        <v>21.99</v>
      </c>
    </row>
    <row r="135" spans="1:16" x14ac:dyDescent="0.2">
      <c r="A135">
        <v>31251</v>
      </c>
      <c r="B135" t="s">
        <v>413</v>
      </c>
      <c r="C135">
        <v>4909</v>
      </c>
      <c r="D135" t="s">
        <v>414</v>
      </c>
      <c r="E135" t="s">
        <v>25</v>
      </c>
      <c r="F135" t="s">
        <v>18</v>
      </c>
      <c r="G135" t="s">
        <v>18</v>
      </c>
      <c r="I135" t="s">
        <v>283</v>
      </c>
      <c r="J135">
        <v>729</v>
      </c>
      <c r="K135">
        <v>467</v>
      </c>
      <c r="L135">
        <v>33</v>
      </c>
      <c r="M135">
        <v>201</v>
      </c>
      <c r="N135">
        <v>60</v>
      </c>
      <c r="O135">
        <v>21</v>
      </c>
      <c r="P135" s="2">
        <f>K135/N135</f>
        <v>7.7833333333333332</v>
      </c>
    </row>
    <row r="136" spans="1:16" x14ac:dyDescent="0.2">
      <c r="A136">
        <v>31041</v>
      </c>
      <c r="B136" t="s">
        <v>90</v>
      </c>
      <c r="C136">
        <v>4910</v>
      </c>
      <c r="D136" t="s">
        <v>91</v>
      </c>
      <c r="E136" t="s">
        <v>25</v>
      </c>
      <c r="F136" t="s">
        <v>18</v>
      </c>
      <c r="G136" t="s">
        <v>18</v>
      </c>
      <c r="I136" t="s">
        <v>89</v>
      </c>
      <c r="J136">
        <v>28572</v>
      </c>
      <c r="K136">
        <v>8736</v>
      </c>
      <c r="L136">
        <v>34</v>
      </c>
      <c r="M136">
        <v>1959</v>
      </c>
      <c r="N136">
        <v>319</v>
      </c>
      <c r="O136">
        <v>21</v>
      </c>
      <c r="P136" s="2">
        <f>K136/N136</f>
        <v>27.385579937304076</v>
      </c>
    </row>
    <row r="137" spans="1:16" x14ac:dyDescent="0.2">
      <c r="A137">
        <v>31252</v>
      </c>
      <c r="B137" t="s">
        <v>415</v>
      </c>
      <c r="C137">
        <v>4911</v>
      </c>
      <c r="D137" t="s">
        <v>416</v>
      </c>
      <c r="E137" t="s">
        <v>25</v>
      </c>
      <c r="F137" t="s">
        <v>18</v>
      </c>
      <c r="G137" t="s">
        <v>18</v>
      </c>
      <c r="I137" t="s">
        <v>283</v>
      </c>
      <c r="J137">
        <v>29714</v>
      </c>
      <c r="K137">
        <v>6850</v>
      </c>
      <c r="L137">
        <v>34</v>
      </c>
      <c r="M137">
        <v>3788</v>
      </c>
      <c r="N137">
        <v>293</v>
      </c>
      <c r="O137">
        <v>21</v>
      </c>
      <c r="P137" s="2">
        <f>K137/N137</f>
        <v>23.378839590443686</v>
      </c>
    </row>
    <row r="138" spans="1:16" x14ac:dyDescent="0.2">
      <c r="A138">
        <v>31042</v>
      </c>
      <c r="B138" t="s">
        <v>92</v>
      </c>
      <c r="C138">
        <v>4912</v>
      </c>
      <c r="D138" t="s">
        <v>93</v>
      </c>
      <c r="E138" t="s">
        <v>25</v>
      </c>
      <c r="F138" t="s">
        <v>18</v>
      </c>
      <c r="G138" t="s">
        <v>18</v>
      </c>
      <c r="I138" t="s">
        <v>89</v>
      </c>
      <c r="J138">
        <v>8897</v>
      </c>
      <c r="K138">
        <v>2374</v>
      </c>
      <c r="L138">
        <v>34</v>
      </c>
      <c r="M138">
        <v>655</v>
      </c>
      <c r="N138">
        <v>100</v>
      </c>
      <c r="O138">
        <v>21</v>
      </c>
      <c r="P138" s="2">
        <f>K138/N138</f>
        <v>23.74</v>
      </c>
    </row>
    <row r="139" spans="1:16" x14ac:dyDescent="0.2">
      <c r="A139">
        <v>31043</v>
      </c>
      <c r="B139" t="s">
        <v>94</v>
      </c>
      <c r="C139">
        <v>4913</v>
      </c>
      <c r="D139" t="s">
        <v>95</v>
      </c>
      <c r="E139" t="s">
        <v>25</v>
      </c>
      <c r="F139" t="s">
        <v>18</v>
      </c>
      <c r="G139" t="s">
        <v>18</v>
      </c>
      <c r="I139" t="s">
        <v>33</v>
      </c>
      <c r="J139">
        <v>1310</v>
      </c>
      <c r="K139">
        <v>572</v>
      </c>
      <c r="L139">
        <v>33</v>
      </c>
      <c r="M139">
        <v>83</v>
      </c>
      <c r="N139">
        <v>30</v>
      </c>
      <c r="O139">
        <v>21</v>
      </c>
      <c r="P139" s="2">
        <f>K139/N139</f>
        <v>19.066666666666666</v>
      </c>
    </row>
    <row r="140" spans="1:16" x14ac:dyDescent="0.2">
      <c r="A140">
        <v>31044</v>
      </c>
      <c r="B140" t="s">
        <v>96</v>
      </c>
      <c r="C140">
        <v>4914</v>
      </c>
      <c r="D140" t="s">
        <v>97</v>
      </c>
      <c r="E140" t="s">
        <v>25</v>
      </c>
      <c r="F140" t="s">
        <v>18</v>
      </c>
      <c r="G140" t="s">
        <v>18</v>
      </c>
      <c r="I140" t="s">
        <v>33</v>
      </c>
      <c r="J140">
        <v>1323</v>
      </c>
      <c r="K140">
        <v>726</v>
      </c>
      <c r="L140">
        <v>34</v>
      </c>
      <c r="M140">
        <v>249</v>
      </c>
      <c r="N140">
        <v>50</v>
      </c>
      <c r="O140">
        <v>21</v>
      </c>
      <c r="P140" s="2">
        <f>K140/N140</f>
        <v>14.52</v>
      </c>
    </row>
    <row r="141" spans="1:16" x14ac:dyDescent="0.2">
      <c r="A141">
        <v>31060</v>
      </c>
      <c r="B141" t="s">
        <v>116</v>
      </c>
      <c r="C141">
        <v>4915</v>
      </c>
      <c r="D141" t="s">
        <v>117</v>
      </c>
      <c r="E141" t="s">
        <v>25</v>
      </c>
      <c r="F141" t="s">
        <v>18</v>
      </c>
      <c r="G141" t="s">
        <v>18</v>
      </c>
      <c r="I141" t="s">
        <v>102</v>
      </c>
      <c r="J141">
        <v>19776</v>
      </c>
      <c r="K141">
        <v>5835</v>
      </c>
      <c r="L141">
        <v>34</v>
      </c>
      <c r="M141">
        <v>2273</v>
      </c>
      <c r="N141">
        <v>317</v>
      </c>
      <c r="O141">
        <v>21</v>
      </c>
      <c r="P141" s="2">
        <f>K141/N141</f>
        <v>18.406940063091483</v>
      </c>
    </row>
    <row r="142" spans="1:16" x14ac:dyDescent="0.2">
      <c r="A142">
        <v>31069</v>
      </c>
      <c r="B142" t="s">
        <v>125</v>
      </c>
      <c r="C142">
        <v>4918</v>
      </c>
      <c r="D142" t="s">
        <v>126</v>
      </c>
      <c r="E142" t="s">
        <v>127</v>
      </c>
      <c r="F142" t="s">
        <v>18</v>
      </c>
      <c r="G142" t="s">
        <v>18</v>
      </c>
      <c r="I142" t="s">
        <v>102</v>
      </c>
      <c r="J142">
        <v>66080</v>
      </c>
      <c r="K142">
        <v>9515</v>
      </c>
      <c r="L142">
        <v>34</v>
      </c>
      <c r="M142">
        <v>6467</v>
      </c>
      <c r="N142">
        <v>364</v>
      </c>
      <c r="O142">
        <v>21</v>
      </c>
      <c r="P142" s="2">
        <f>K142/N142</f>
        <v>26.140109890109891</v>
      </c>
    </row>
    <row r="143" spans="1:16" x14ac:dyDescent="0.2">
      <c r="A143">
        <v>31070</v>
      </c>
      <c r="B143" t="s">
        <v>128</v>
      </c>
      <c r="C143">
        <v>4920</v>
      </c>
      <c r="D143" t="s">
        <v>129</v>
      </c>
      <c r="E143" t="s">
        <v>130</v>
      </c>
      <c r="F143" t="s">
        <v>18</v>
      </c>
      <c r="G143" t="s">
        <v>18</v>
      </c>
      <c r="I143" t="s">
        <v>102</v>
      </c>
      <c r="J143">
        <v>67460</v>
      </c>
      <c r="K143">
        <v>9351</v>
      </c>
      <c r="L143">
        <v>34</v>
      </c>
      <c r="M143">
        <v>6115</v>
      </c>
      <c r="N143">
        <v>373</v>
      </c>
      <c r="O143">
        <v>21</v>
      </c>
      <c r="P143" s="2">
        <f>K143/N143</f>
        <v>25.069705093833779</v>
      </c>
    </row>
    <row r="144" spans="1:16" x14ac:dyDescent="0.2">
      <c r="A144">
        <v>31117</v>
      </c>
      <c r="B144" t="s">
        <v>197</v>
      </c>
      <c r="C144">
        <v>4922</v>
      </c>
      <c r="D144" t="s">
        <v>198</v>
      </c>
      <c r="E144" t="s">
        <v>25</v>
      </c>
      <c r="F144" t="s">
        <v>18</v>
      </c>
      <c r="G144" t="s">
        <v>18</v>
      </c>
      <c r="I144" t="s">
        <v>133</v>
      </c>
      <c r="J144">
        <v>2879</v>
      </c>
      <c r="K144">
        <v>869</v>
      </c>
      <c r="L144">
        <v>34</v>
      </c>
      <c r="M144">
        <v>239</v>
      </c>
      <c r="N144">
        <v>43</v>
      </c>
      <c r="O144">
        <v>21</v>
      </c>
      <c r="P144" s="2">
        <f>K144/N144</f>
        <v>20.209302325581394</v>
      </c>
    </row>
    <row r="145" spans="1:16" x14ac:dyDescent="0.2">
      <c r="A145">
        <v>31098</v>
      </c>
      <c r="B145" t="s">
        <v>165</v>
      </c>
      <c r="C145">
        <v>4923</v>
      </c>
      <c r="D145" t="s">
        <v>166</v>
      </c>
      <c r="E145" t="s">
        <v>25</v>
      </c>
      <c r="F145" t="s">
        <v>18</v>
      </c>
      <c r="G145" t="s">
        <v>18</v>
      </c>
      <c r="I145" t="s">
        <v>133</v>
      </c>
      <c r="J145">
        <v>1507</v>
      </c>
      <c r="K145">
        <v>105</v>
      </c>
      <c r="L145">
        <v>29</v>
      </c>
      <c r="M145">
        <v>0</v>
      </c>
      <c r="N145">
        <v>0</v>
      </c>
      <c r="O145">
        <v>0</v>
      </c>
      <c r="P145" s="3">
        <v>0</v>
      </c>
    </row>
    <row r="146" spans="1:16" x14ac:dyDescent="0.2">
      <c r="A146">
        <v>31080</v>
      </c>
      <c r="B146" t="s">
        <v>131</v>
      </c>
      <c r="C146">
        <v>4924</v>
      </c>
      <c r="D146" t="s">
        <v>132</v>
      </c>
      <c r="E146" t="s">
        <v>25</v>
      </c>
      <c r="F146" t="s">
        <v>18</v>
      </c>
      <c r="G146" t="s">
        <v>18</v>
      </c>
      <c r="I146" t="s">
        <v>133</v>
      </c>
      <c r="J146">
        <v>1214</v>
      </c>
      <c r="K146">
        <v>630</v>
      </c>
      <c r="L146">
        <v>34</v>
      </c>
      <c r="M146">
        <v>348</v>
      </c>
      <c r="N146">
        <v>57</v>
      </c>
      <c r="O146">
        <v>21</v>
      </c>
      <c r="P146" s="2">
        <f>K146/N146</f>
        <v>11.052631578947368</v>
      </c>
    </row>
    <row r="147" spans="1:16" x14ac:dyDescent="0.2">
      <c r="A147">
        <v>31099</v>
      </c>
      <c r="B147" t="s">
        <v>167</v>
      </c>
      <c r="C147">
        <v>4925</v>
      </c>
      <c r="D147" t="s">
        <v>168</v>
      </c>
      <c r="E147" t="s">
        <v>25</v>
      </c>
      <c r="F147" t="s">
        <v>18</v>
      </c>
      <c r="G147" t="s">
        <v>18</v>
      </c>
      <c r="I147" t="s">
        <v>133</v>
      </c>
      <c r="J147">
        <v>3815</v>
      </c>
      <c r="K147">
        <v>1204</v>
      </c>
      <c r="L147">
        <v>34</v>
      </c>
      <c r="M147">
        <v>352</v>
      </c>
      <c r="N147">
        <v>57</v>
      </c>
      <c r="O147">
        <v>21</v>
      </c>
      <c r="P147" s="2">
        <f>K147/N147</f>
        <v>21.12280701754386</v>
      </c>
    </row>
    <row r="148" spans="1:16" x14ac:dyDescent="0.2">
      <c r="A148">
        <v>31134</v>
      </c>
      <c r="B148" t="s">
        <v>229</v>
      </c>
      <c r="C148">
        <v>4926</v>
      </c>
      <c r="D148" t="s">
        <v>230</v>
      </c>
      <c r="E148" t="s">
        <v>25</v>
      </c>
      <c r="F148" t="s">
        <v>18</v>
      </c>
      <c r="G148" t="s">
        <v>18</v>
      </c>
      <c r="I148" t="s">
        <v>133</v>
      </c>
      <c r="J148">
        <v>779</v>
      </c>
      <c r="K148">
        <v>465</v>
      </c>
      <c r="L148">
        <v>34</v>
      </c>
      <c r="M148">
        <v>211</v>
      </c>
      <c r="N148">
        <v>43</v>
      </c>
      <c r="O148">
        <v>21</v>
      </c>
      <c r="P148" s="2">
        <f>K148/N148</f>
        <v>10.813953488372093</v>
      </c>
    </row>
    <row r="149" spans="1:16" x14ac:dyDescent="0.2">
      <c r="A149">
        <v>31082</v>
      </c>
      <c r="B149" t="s">
        <v>136</v>
      </c>
      <c r="C149">
        <v>4927</v>
      </c>
      <c r="D149" t="s">
        <v>137</v>
      </c>
      <c r="E149" t="s">
        <v>25</v>
      </c>
      <c r="F149" t="s">
        <v>18</v>
      </c>
      <c r="G149" t="s">
        <v>18</v>
      </c>
      <c r="I149" t="s">
        <v>133</v>
      </c>
      <c r="J149">
        <v>1059</v>
      </c>
      <c r="K149">
        <v>574</v>
      </c>
      <c r="L149">
        <v>34</v>
      </c>
      <c r="M149">
        <v>338</v>
      </c>
      <c r="N149">
        <v>64</v>
      </c>
      <c r="O149">
        <v>21</v>
      </c>
      <c r="P149" s="2">
        <f>K149/N149</f>
        <v>8.96875</v>
      </c>
    </row>
    <row r="150" spans="1:16" x14ac:dyDescent="0.2">
      <c r="A150">
        <v>31116</v>
      </c>
      <c r="B150" t="s">
        <v>195</v>
      </c>
      <c r="C150">
        <v>4928</v>
      </c>
      <c r="D150" t="s">
        <v>196</v>
      </c>
      <c r="E150" t="s">
        <v>25</v>
      </c>
      <c r="F150" t="s">
        <v>18</v>
      </c>
      <c r="G150" t="s">
        <v>18</v>
      </c>
      <c r="I150" t="s">
        <v>133</v>
      </c>
      <c r="J150">
        <v>615</v>
      </c>
      <c r="K150">
        <v>51</v>
      </c>
      <c r="L150">
        <v>31</v>
      </c>
      <c r="M150">
        <v>2</v>
      </c>
      <c r="N150">
        <v>1</v>
      </c>
      <c r="O150">
        <v>1</v>
      </c>
      <c r="P150" s="2">
        <f>K150/N150</f>
        <v>51</v>
      </c>
    </row>
    <row r="151" spans="1:16" x14ac:dyDescent="0.2">
      <c r="A151">
        <v>31194</v>
      </c>
      <c r="B151" t="s">
        <v>319</v>
      </c>
      <c r="C151">
        <v>4929</v>
      </c>
      <c r="D151" t="s">
        <v>320</v>
      </c>
      <c r="E151" t="s">
        <v>25</v>
      </c>
      <c r="F151" t="s">
        <v>18</v>
      </c>
      <c r="G151" t="s">
        <v>18</v>
      </c>
      <c r="I151" t="s">
        <v>89</v>
      </c>
      <c r="J151">
        <v>18005</v>
      </c>
      <c r="K151">
        <v>5977</v>
      </c>
      <c r="L151">
        <v>34</v>
      </c>
      <c r="M151">
        <v>1839</v>
      </c>
      <c r="N151">
        <v>302</v>
      </c>
      <c r="O151">
        <v>21</v>
      </c>
      <c r="P151" s="2">
        <f>K151/N151</f>
        <v>19.79139072847682</v>
      </c>
    </row>
    <row r="152" spans="1:16" x14ac:dyDescent="0.2">
      <c r="A152">
        <v>31118</v>
      </c>
      <c r="B152" t="s">
        <v>199</v>
      </c>
      <c r="C152">
        <v>4931</v>
      </c>
      <c r="D152" t="s">
        <v>200</v>
      </c>
      <c r="E152" t="s">
        <v>25</v>
      </c>
      <c r="F152" t="s">
        <v>18</v>
      </c>
      <c r="G152" t="s">
        <v>18</v>
      </c>
      <c r="I152" t="s">
        <v>133</v>
      </c>
      <c r="J152">
        <v>618</v>
      </c>
      <c r="K152">
        <v>253</v>
      </c>
      <c r="L152">
        <v>34</v>
      </c>
      <c r="M152">
        <v>46</v>
      </c>
      <c r="N152">
        <v>11</v>
      </c>
      <c r="O152">
        <v>13</v>
      </c>
      <c r="P152" s="2">
        <f>K152/N152</f>
        <v>23</v>
      </c>
    </row>
    <row r="153" spans="1:16" x14ac:dyDescent="0.2">
      <c r="A153">
        <v>31108</v>
      </c>
      <c r="B153" t="s">
        <v>183</v>
      </c>
      <c r="C153">
        <v>4932</v>
      </c>
      <c r="D153" t="s">
        <v>184</v>
      </c>
      <c r="E153" t="s">
        <v>25</v>
      </c>
      <c r="F153" t="s">
        <v>18</v>
      </c>
      <c r="G153" t="s">
        <v>18</v>
      </c>
      <c r="I153" t="s">
        <v>133</v>
      </c>
      <c r="J153">
        <v>22523</v>
      </c>
      <c r="K153">
        <v>4042</v>
      </c>
      <c r="L153">
        <v>34</v>
      </c>
      <c r="M153">
        <v>827</v>
      </c>
      <c r="N153">
        <v>149</v>
      </c>
      <c r="O153">
        <v>21</v>
      </c>
      <c r="P153" s="2">
        <f>K153/N153</f>
        <v>27.127516778523489</v>
      </c>
    </row>
    <row r="154" spans="1:16" x14ac:dyDescent="0.2">
      <c r="A154">
        <v>31109</v>
      </c>
      <c r="B154" t="s">
        <v>185</v>
      </c>
      <c r="C154">
        <v>4933</v>
      </c>
      <c r="D154" t="s">
        <v>186</v>
      </c>
      <c r="E154" t="s">
        <v>25</v>
      </c>
      <c r="F154" t="s">
        <v>18</v>
      </c>
      <c r="G154" t="s">
        <v>18</v>
      </c>
      <c r="I154" t="s">
        <v>133</v>
      </c>
      <c r="J154">
        <v>18509</v>
      </c>
      <c r="K154">
        <v>3705</v>
      </c>
      <c r="L154">
        <v>34</v>
      </c>
      <c r="M154">
        <v>1542</v>
      </c>
      <c r="N154">
        <v>152</v>
      </c>
      <c r="O154">
        <v>21</v>
      </c>
      <c r="P154" s="2">
        <f>K154/N154</f>
        <v>24.375</v>
      </c>
    </row>
    <row r="155" spans="1:16" x14ac:dyDescent="0.2">
      <c r="A155">
        <v>31081</v>
      </c>
      <c r="B155" t="s">
        <v>134</v>
      </c>
      <c r="C155">
        <v>4934</v>
      </c>
      <c r="D155" t="s">
        <v>135</v>
      </c>
      <c r="E155" t="s">
        <v>25</v>
      </c>
      <c r="F155" t="s">
        <v>18</v>
      </c>
      <c r="G155" t="s">
        <v>18</v>
      </c>
      <c r="I155" t="s">
        <v>33</v>
      </c>
      <c r="J155">
        <v>2376</v>
      </c>
      <c r="K155">
        <v>863</v>
      </c>
      <c r="L155">
        <v>34</v>
      </c>
      <c r="M155">
        <v>247</v>
      </c>
      <c r="N155">
        <v>41</v>
      </c>
      <c r="O155">
        <v>21</v>
      </c>
      <c r="P155" s="2">
        <f>K155/N155</f>
        <v>21.048780487804876</v>
      </c>
    </row>
    <row r="156" spans="1:16" x14ac:dyDescent="0.2">
      <c r="A156">
        <v>31115</v>
      </c>
      <c r="B156" t="s">
        <v>193</v>
      </c>
      <c r="C156">
        <v>4935</v>
      </c>
      <c r="D156" t="s">
        <v>194</v>
      </c>
      <c r="E156" t="s">
        <v>25</v>
      </c>
      <c r="F156" t="s">
        <v>18</v>
      </c>
      <c r="G156" t="s">
        <v>18</v>
      </c>
      <c r="I156" t="s">
        <v>133</v>
      </c>
      <c r="J156">
        <v>444</v>
      </c>
      <c r="K156">
        <v>128</v>
      </c>
      <c r="L156">
        <v>34</v>
      </c>
      <c r="M156">
        <v>10</v>
      </c>
      <c r="N156">
        <v>3</v>
      </c>
      <c r="O156">
        <v>6</v>
      </c>
      <c r="P156" s="2">
        <f>K156/N156</f>
        <v>42.666666666666664</v>
      </c>
    </row>
    <row r="157" spans="1:16" x14ac:dyDescent="0.2">
      <c r="A157">
        <v>31119</v>
      </c>
      <c r="B157" t="s">
        <v>201</v>
      </c>
      <c r="C157">
        <v>4936</v>
      </c>
      <c r="D157" t="s">
        <v>202</v>
      </c>
      <c r="E157" t="s">
        <v>25</v>
      </c>
      <c r="F157" t="s">
        <v>18</v>
      </c>
      <c r="G157" t="s">
        <v>18</v>
      </c>
      <c r="I157" t="s">
        <v>133</v>
      </c>
      <c r="J157">
        <v>3026</v>
      </c>
      <c r="K157">
        <v>934</v>
      </c>
      <c r="L157">
        <v>34</v>
      </c>
      <c r="M157">
        <v>204</v>
      </c>
      <c r="N157">
        <v>51</v>
      </c>
      <c r="O157">
        <v>20</v>
      </c>
      <c r="P157" s="2">
        <f>K157/N157</f>
        <v>18.313725490196077</v>
      </c>
    </row>
    <row r="158" spans="1:16" x14ac:dyDescent="0.2">
      <c r="A158">
        <v>31122</v>
      </c>
      <c r="B158" t="s">
        <v>207</v>
      </c>
      <c r="C158">
        <v>4937</v>
      </c>
      <c r="D158" t="s">
        <v>208</v>
      </c>
      <c r="E158" t="s">
        <v>25</v>
      </c>
      <c r="F158" t="s">
        <v>18</v>
      </c>
      <c r="G158" t="s">
        <v>18</v>
      </c>
      <c r="I158" t="s">
        <v>33</v>
      </c>
      <c r="J158">
        <v>1554</v>
      </c>
      <c r="K158">
        <v>738</v>
      </c>
      <c r="L158">
        <v>34</v>
      </c>
      <c r="M158">
        <v>311</v>
      </c>
      <c r="N158">
        <v>56</v>
      </c>
      <c r="O158">
        <v>21</v>
      </c>
      <c r="P158" s="2">
        <f>K158/N158</f>
        <v>13.178571428571429</v>
      </c>
    </row>
    <row r="159" spans="1:16" x14ac:dyDescent="0.2">
      <c r="A159">
        <v>31120</v>
      </c>
      <c r="B159" t="s">
        <v>203</v>
      </c>
      <c r="C159">
        <v>4938</v>
      </c>
      <c r="D159" t="s">
        <v>204</v>
      </c>
      <c r="E159" t="s">
        <v>25</v>
      </c>
      <c r="F159" t="s">
        <v>18</v>
      </c>
      <c r="G159" t="s">
        <v>18</v>
      </c>
      <c r="I159" t="s">
        <v>133</v>
      </c>
      <c r="J159">
        <v>555</v>
      </c>
      <c r="K159">
        <v>178</v>
      </c>
      <c r="L159">
        <v>33</v>
      </c>
      <c r="M159">
        <v>43</v>
      </c>
      <c r="N159">
        <v>5</v>
      </c>
      <c r="O159">
        <v>15</v>
      </c>
      <c r="P159" s="2">
        <f>K159/N159</f>
        <v>35.6</v>
      </c>
    </row>
    <row r="160" spans="1:16" x14ac:dyDescent="0.2">
      <c r="A160">
        <v>31123</v>
      </c>
      <c r="B160" t="s">
        <v>209</v>
      </c>
      <c r="C160">
        <v>4939</v>
      </c>
      <c r="D160" t="s">
        <v>210</v>
      </c>
      <c r="E160" t="s">
        <v>25</v>
      </c>
      <c r="F160" t="s">
        <v>18</v>
      </c>
      <c r="G160" t="s">
        <v>18</v>
      </c>
      <c r="I160" t="s">
        <v>133</v>
      </c>
      <c r="J160">
        <v>78272</v>
      </c>
      <c r="K160">
        <v>9600</v>
      </c>
      <c r="L160">
        <v>34</v>
      </c>
      <c r="M160">
        <v>4823</v>
      </c>
      <c r="N160">
        <v>330</v>
      </c>
      <c r="O160">
        <v>21</v>
      </c>
      <c r="P160" s="2">
        <f>K160/N160</f>
        <v>29.09090909090909</v>
      </c>
    </row>
    <row r="161" spans="1:16" x14ac:dyDescent="0.2">
      <c r="A161">
        <v>31089</v>
      </c>
      <c r="B161" t="s">
        <v>146</v>
      </c>
      <c r="C161">
        <v>4940</v>
      </c>
      <c r="D161" t="s">
        <v>147</v>
      </c>
      <c r="E161" t="s">
        <v>25</v>
      </c>
      <c r="F161" t="s">
        <v>18</v>
      </c>
      <c r="G161" t="s">
        <v>18</v>
      </c>
      <c r="I161" t="s">
        <v>133</v>
      </c>
      <c r="J161">
        <v>30461</v>
      </c>
      <c r="K161">
        <v>7292</v>
      </c>
      <c r="L161">
        <v>34</v>
      </c>
      <c r="M161">
        <v>3164</v>
      </c>
      <c r="N161">
        <v>327</v>
      </c>
      <c r="O161">
        <v>21</v>
      </c>
      <c r="P161" s="2">
        <f>K161/N161</f>
        <v>22.299694189602448</v>
      </c>
    </row>
    <row r="162" spans="1:16" x14ac:dyDescent="0.2">
      <c r="A162">
        <v>31121</v>
      </c>
      <c r="B162" t="s">
        <v>205</v>
      </c>
      <c r="C162">
        <v>4941</v>
      </c>
      <c r="D162" t="s">
        <v>206</v>
      </c>
      <c r="E162" t="s">
        <v>25</v>
      </c>
      <c r="F162" t="s">
        <v>18</v>
      </c>
      <c r="G162" t="s">
        <v>18</v>
      </c>
      <c r="I162" t="s">
        <v>133</v>
      </c>
      <c r="J162">
        <v>2499</v>
      </c>
      <c r="K162">
        <v>749</v>
      </c>
      <c r="L162">
        <v>34</v>
      </c>
      <c r="M162">
        <v>112</v>
      </c>
      <c r="N162">
        <v>36</v>
      </c>
      <c r="O162">
        <v>19</v>
      </c>
      <c r="P162" s="2">
        <f>K162/N162</f>
        <v>20.805555555555557</v>
      </c>
    </row>
    <row r="163" spans="1:16" x14ac:dyDescent="0.2">
      <c r="A163">
        <v>31065</v>
      </c>
      <c r="B163" t="s">
        <v>118</v>
      </c>
      <c r="C163">
        <v>4942</v>
      </c>
      <c r="D163" t="s">
        <v>119</v>
      </c>
      <c r="E163" t="s">
        <v>25</v>
      </c>
      <c r="F163" t="s">
        <v>18</v>
      </c>
      <c r="G163" t="s">
        <v>18</v>
      </c>
      <c r="I163" t="s">
        <v>33</v>
      </c>
      <c r="J163">
        <v>627</v>
      </c>
      <c r="K163">
        <v>433</v>
      </c>
      <c r="L163">
        <v>34</v>
      </c>
      <c r="M163">
        <v>328</v>
      </c>
      <c r="N163">
        <v>56</v>
      </c>
      <c r="O163">
        <v>21</v>
      </c>
      <c r="P163" s="2">
        <f>K163/N163</f>
        <v>7.7321428571428568</v>
      </c>
    </row>
    <row r="164" spans="1:16" x14ac:dyDescent="0.2">
      <c r="A164">
        <v>31066</v>
      </c>
      <c r="B164" t="s">
        <v>120</v>
      </c>
      <c r="C164">
        <v>4943</v>
      </c>
      <c r="D164" t="s">
        <v>121</v>
      </c>
      <c r="E164" t="s">
        <v>25</v>
      </c>
      <c r="F164" t="s">
        <v>18</v>
      </c>
      <c r="G164" t="s">
        <v>18</v>
      </c>
      <c r="I164" t="s">
        <v>102</v>
      </c>
      <c r="J164">
        <v>1654</v>
      </c>
      <c r="K164">
        <v>332</v>
      </c>
      <c r="L164">
        <v>34</v>
      </c>
      <c r="M164">
        <v>52</v>
      </c>
      <c r="N164">
        <v>12</v>
      </c>
      <c r="O164">
        <v>16</v>
      </c>
      <c r="P164" s="2">
        <f>K164/N164</f>
        <v>27.666666666666668</v>
      </c>
    </row>
    <row r="165" spans="1:16" x14ac:dyDescent="0.2">
      <c r="A165">
        <v>31125</v>
      </c>
      <c r="B165" t="s">
        <v>213</v>
      </c>
      <c r="C165">
        <v>4944</v>
      </c>
      <c r="D165" t="s">
        <v>214</v>
      </c>
      <c r="E165" t="s">
        <v>25</v>
      </c>
      <c r="F165" t="s">
        <v>18</v>
      </c>
      <c r="G165" t="s">
        <v>18</v>
      </c>
      <c r="I165" t="s">
        <v>133</v>
      </c>
      <c r="J165">
        <v>785</v>
      </c>
      <c r="K165">
        <v>307</v>
      </c>
      <c r="L165">
        <v>34</v>
      </c>
      <c r="M165">
        <v>55</v>
      </c>
      <c r="N165">
        <v>26</v>
      </c>
      <c r="O165">
        <v>17</v>
      </c>
      <c r="P165" s="2">
        <f>K165/N165</f>
        <v>11.807692307692308</v>
      </c>
    </row>
    <row r="166" spans="1:16" x14ac:dyDescent="0.2">
      <c r="A166">
        <v>31016</v>
      </c>
      <c r="B166" t="s">
        <v>74</v>
      </c>
      <c r="C166">
        <v>4952</v>
      </c>
      <c r="D166" t="s">
        <v>75</v>
      </c>
      <c r="E166" t="s">
        <v>25</v>
      </c>
      <c r="F166" t="s">
        <v>18</v>
      </c>
      <c r="G166" t="s">
        <v>18</v>
      </c>
      <c r="I166" t="s">
        <v>58</v>
      </c>
      <c r="J166">
        <v>1073</v>
      </c>
      <c r="K166">
        <v>262</v>
      </c>
      <c r="L166">
        <v>33</v>
      </c>
      <c r="M166">
        <v>13</v>
      </c>
      <c r="N166">
        <v>7</v>
      </c>
      <c r="O166">
        <v>9</v>
      </c>
      <c r="P166" s="2">
        <f>K166/N166</f>
        <v>37.428571428571431</v>
      </c>
    </row>
    <row r="167" spans="1:16" x14ac:dyDescent="0.2">
      <c r="A167">
        <v>31027</v>
      </c>
      <c r="B167" t="s">
        <v>84</v>
      </c>
      <c r="C167">
        <v>4955</v>
      </c>
      <c r="D167" t="s">
        <v>85</v>
      </c>
      <c r="E167" t="s">
        <v>86</v>
      </c>
      <c r="F167" t="s">
        <v>18</v>
      </c>
      <c r="G167" t="s">
        <v>18</v>
      </c>
      <c r="I167" t="s">
        <v>58</v>
      </c>
      <c r="J167">
        <v>6902</v>
      </c>
      <c r="K167">
        <v>2881</v>
      </c>
      <c r="L167">
        <v>34</v>
      </c>
      <c r="M167">
        <v>899</v>
      </c>
      <c r="N167">
        <v>225</v>
      </c>
      <c r="O167">
        <v>21</v>
      </c>
      <c r="P167" s="2">
        <f>K167/N167</f>
        <v>12.804444444444444</v>
      </c>
    </row>
    <row r="168" spans="1:16" x14ac:dyDescent="0.2">
      <c r="A168">
        <v>29316</v>
      </c>
      <c r="B168" t="s">
        <v>23</v>
      </c>
      <c r="C168">
        <v>4962</v>
      </c>
      <c r="D168" t="s">
        <v>24</v>
      </c>
      <c r="E168" t="s">
        <v>25</v>
      </c>
      <c r="F168" t="s">
        <v>18</v>
      </c>
      <c r="G168" t="s">
        <v>18</v>
      </c>
      <c r="I168" t="s">
        <v>26</v>
      </c>
      <c r="J168">
        <v>231</v>
      </c>
      <c r="K168">
        <v>99</v>
      </c>
      <c r="L168">
        <v>32</v>
      </c>
      <c r="M168">
        <v>1</v>
      </c>
      <c r="N168">
        <v>1</v>
      </c>
      <c r="O168">
        <v>1</v>
      </c>
      <c r="P168" s="2">
        <f>K168/N168</f>
        <v>99</v>
      </c>
    </row>
    <row r="169" spans="1:16" x14ac:dyDescent="0.2">
      <c r="A169">
        <v>31127</v>
      </c>
      <c r="B169" t="s">
        <v>217</v>
      </c>
      <c r="C169">
        <v>4963</v>
      </c>
      <c r="D169" t="s">
        <v>218</v>
      </c>
      <c r="E169" t="s">
        <v>25</v>
      </c>
      <c r="F169" t="s">
        <v>18</v>
      </c>
      <c r="G169" t="s">
        <v>18</v>
      </c>
      <c r="I169" t="s">
        <v>26</v>
      </c>
      <c r="J169">
        <v>382</v>
      </c>
      <c r="K169">
        <v>73</v>
      </c>
      <c r="L169">
        <v>30</v>
      </c>
      <c r="M169">
        <v>1</v>
      </c>
      <c r="N169">
        <v>1</v>
      </c>
      <c r="O169">
        <v>1</v>
      </c>
      <c r="P169" s="2">
        <f>K169/N169</f>
        <v>73</v>
      </c>
    </row>
    <row r="170" spans="1:16" x14ac:dyDescent="0.2">
      <c r="A170">
        <v>31128</v>
      </c>
      <c r="B170" t="s">
        <v>219</v>
      </c>
      <c r="C170">
        <v>4964</v>
      </c>
      <c r="D170" t="s">
        <v>220</v>
      </c>
      <c r="E170" t="s">
        <v>25</v>
      </c>
      <c r="F170" t="s">
        <v>18</v>
      </c>
      <c r="G170" t="s">
        <v>18</v>
      </c>
      <c r="I170" t="s">
        <v>26</v>
      </c>
      <c r="J170">
        <v>471</v>
      </c>
      <c r="K170">
        <v>123</v>
      </c>
      <c r="L170">
        <v>33</v>
      </c>
      <c r="M170">
        <v>7</v>
      </c>
      <c r="N170">
        <v>3</v>
      </c>
      <c r="O170">
        <v>5</v>
      </c>
      <c r="P170" s="2">
        <f>K170/N170</f>
        <v>41</v>
      </c>
    </row>
    <row r="171" spans="1:16" x14ac:dyDescent="0.2">
      <c r="A171">
        <v>31093</v>
      </c>
      <c r="B171" t="s">
        <v>154</v>
      </c>
      <c r="C171">
        <v>4965</v>
      </c>
      <c r="D171" t="s">
        <v>155</v>
      </c>
      <c r="E171" t="s">
        <v>25</v>
      </c>
      <c r="F171" t="s">
        <v>18</v>
      </c>
      <c r="G171" t="s">
        <v>18</v>
      </c>
      <c r="I171" t="s">
        <v>26</v>
      </c>
      <c r="J171">
        <v>925</v>
      </c>
      <c r="K171">
        <v>334</v>
      </c>
      <c r="L171">
        <v>34</v>
      </c>
      <c r="M171">
        <v>9</v>
      </c>
      <c r="N171">
        <v>8</v>
      </c>
      <c r="O171">
        <v>8</v>
      </c>
      <c r="P171" s="2">
        <f>K171/N171</f>
        <v>41.75</v>
      </c>
    </row>
    <row r="172" spans="1:16" x14ac:dyDescent="0.2">
      <c r="A172">
        <v>31129</v>
      </c>
      <c r="B172" t="s">
        <v>221</v>
      </c>
      <c r="C172">
        <v>4966</v>
      </c>
      <c r="D172" t="s">
        <v>222</v>
      </c>
      <c r="E172" t="s">
        <v>25</v>
      </c>
      <c r="F172" t="s">
        <v>18</v>
      </c>
      <c r="G172" t="s">
        <v>18</v>
      </c>
      <c r="I172" t="s">
        <v>26</v>
      </c>
      <c r="J172">
        <v>1101</v>
      </c>
      <c r="K172">
        <v>429</v>
      </c>
      <c r="L172">
        <v>34</v>
      </c>
      <c r="M172">
        <v>47</v>
      </c>
      <c r="N172">
        <v>9</v>
      </c>
      <c r="O172">
        <v>13</v>
      </c>
      <c r="P172" s="2">
        <f>K172/N172</f>
        <v>47.666666666666664</v>
      </c>
    </row>
    <row r="173" spans="1:16" x14ac:dyDescent="0.2">
      <c r="A173">
        <v>31130</v>
      </c>
      <c r="B173" t="s">
        <v>223</v>
      </c>
      <c r="C173">
        <v>4967</v>
      </c>
      <c r="D173" t="s">
        <v>224</v>
      </c>
      <c r="E173" t="s">
        <v>25</v>
      </c>
      <c r="F173" t="s">
        <v>18</v>
      </c>
      <c r="G173" t="s">
        <v>18</v>
      </c>
      <c r="I173" t="s">
        <v>26</v>
      </c>
      <c r="J173">
        <v>1501</v>
      </c>
      <c r="K173">
        <v>763</v>
      </c>
      <c r="L173">
        <v>34</v>
      </c>
      <c r="M173">
        <v>113</v>
      </c>
      <c r="N173">
        <v>58</v>
      </c>
      <c r="O173">
        <v>21</v>
      </c>
      <c r="P173" s="2">
        <f>K173/N173</f>
        <v>13.155172413793103</v>
      </c>
    </row>
    <row r="174" spans="1:16" x14ac:dyDescent="0.2">
      <c r="A174">
        <v>31254</v>
      </c>
      <c r="B174" t="s">
        <v>419</v>
      </c>
      <c r="C174">
        <v>4968</v>
      </c>
      <c r="D174" t="s">
        <v>420</v>
      </c>
      <c r="E174" t="s">
        <v>25</v>
      </c>
      <c r="F174" t="s">
        <v>18</v>
      </c>
      <c r="G174" t="s">
        <v>18</v>
      </c>
      <c r="I174" t="s">
        <v>71</v>
      </c>
      <c r="J174">
        <v>2947</v>
      </c>
      <c r="K174">
        <v>689</v>
      </c>
      <c r="L174">
        <v>34</v>
      </c>
      <c r="M174">
        <v>173</v>
      </c>
      <c r="N174">
        <v>25</v>
      </c>
      <c r="O174">
        <v>21</v>
      </c>
      <c r="P174" s="2">
        <f>K174/N174</f>
        <v>27.56</v>
      </c>
    </row>
    <row r="175" spans="1:16" x14ac:dyDescent="0.2">
      <c r="A175">
        <v>31131</v>
      </c>
      <c r="B175" t="s">
        <v>225</v>
      </c>
      <c r="C175">
        <v>4969</v>
      </c>
      <c r="D175" t="s">
        <v>226</v>
      </c>
      <c r="E175" t="s">
        <v>25</v>
      </c>
      <c r="F175" t="s">
        <v>18</v>
      </c>
      <c r="G175" t="s">
        <v>18</v>
      </c>
      <c r="I175" t="s">
        <v>71</v>
      </c>
      <c r="J175">
        <v>1263</v>
      </c>
      <c r="K175">
        <v>239</v>
      </c>
      <c r="L175">
        <v>34</v>
      </c>
      <c r="M175">
        <v>60</v>
      </c>
      <c r="N175">
        <v>10</v>
      </c>
      <c r="O175">
        <v>12</v>
      </c>
      <c r="P175" s="2">
        <f>K175/N175</f>
        <v>23.9</v>
      </c>
    </row>
    <row r="176" spans="1:16" x14ac:dyDescent="0.2">
      <c r="A176">
        <v>31023</v>
      </c>
      <c r="B176" t="s">
        <v>76</v>
      </c>
      <c r="C176">
        <v>4970</v>
      </c>
      <c r="D176" t="s">
        <v>77</v>
      </c>
      <c r="E176" t="s">
        <v>25</v>
      </c>
      <c r="F176" t="s">
        <v>18</v>
      </c>
      <c r="G176" t="s">
        <v>18</v>
      </c>
      <c r="I176" t="s">
        <v>58</v>
      </c>
      <c r="J176">
        <v>7690</v>
      </c>
      <c r="K176">
        <v>1882</v>
      </c>
      <c r="L176">
        <v>34</v>
      </c>
      <c r="M176">
        <v>444</v>
      </c>
      <c r="N176">
        <v>96</v>
      </c>
      <c r="O176">
        <v>21</v>
      </c>
      <c r="P176" s="2">
        <f>K176/N176</f>
        <v>19.604166666666668</v>
      </c>
    </row>
    <row r="177" spans="1:16" x14ac:dyDescent="0.2">
      <c r="A177">
        <v>31133</v>
      </c>
      <c r="B177" t="s">
        <v>227</v>
      </c>
      <c r="C177">
        <v>4971</v>
      </c>
      <c r="D177" t="s">
        <v>228</v>
      </c>
      <c r="E177" t="s">
        <v>25</v>
      </c>
      <c r="F177" t="s">
        <v>18</v>
      </c>
      <c r="G177" t="s">
        <v>18</v>
      </c>
      <c r="I177" t="s">
        <v>26</v>
      </c>
      <c r="J177">
        <v>1372</v>
      </c>
      <c r="K177">
        <v>857</v>
      </c>
      <c r="L177">
        <v>34</v>
      </c>
      <c r="M177">
        <v>59</v>
      </c>
      <c r="N177">
        <v>49</v>
      </c>
      <c r="O177">
        <v>20</v>
      </c>
      <c r="P177" s="2">
        <f>K177/N177</f>
        <v>17.489795918367346</v>
      </c>
    </row>
    <row r="178" spans="1:16" x14ac:dyDescent="0.2">
      <c r="A178">
        <v>31024</v>
      </c>
      <c r="B178" t="s">
        <v>78</v>
      </c>
      <c r="C178">
        <v>4972</v>
      </c>
      <c r="D178" t="s">
        <v>79</v>
      </c>
      <c r="E178" t="s">
        <v>25</v>
      </c>
      <c r="F178" t="s">
        <v>18</v>
      </c>
      <c r="G178" t="s">
        <v>18</v>
      </c>
      <c r="I178" t="s">
        <v>58</v>
      </c>
      <c r="J178">
        <v>401</v>
      </c>
      <c r="K178">
        <v>211</v>
      </c>
      <c r="L178">
        <v>34</v>
      </c>
      <c r="M178">
        <v>11</v>
      </c>
      <c r="N178">
        <v>5</v>
      </c>
      <c r="O178">
        <v>7</v>
      </c>
      <c r="P178" s="2">
        <f>K178/N178</f>
        <v>42.2</v>
      </c>
    </row>
    <row r="179" spans="1:16" x14ac:dyDescent="0.2">
      <c r="A179">
        <v>31025</v>
      </c>
      <c r="B179" t="s">
        <v>80</v>
      </c>
      <c r="C179">
        <v>4973</v>
      </c>
      <c r="D179" t="s">
        <v>81</v>
      </c>
      <c r="E179" t="s">
        <v>25</v>
      </c>
      <c r="F179" t="s">
        <v>18</v>
      </c>
      <c r="G179" t="s">
        <v>18</v>
      </c>
      <c r="I179" t="s">
        <v>58</v>
      </c>
      <c r="J179">
        <v>9523</v>
      </c>
      <c r="K179">
        <v>2954</v>
      </c>
      <c r="L179">
        <v>34</v>
      </c>
      <c r="M179">
        <v>1405</v>
      </c>
      <c r="N179">
        <v>195</v>
      </c>
      <c r="O179">
        <v>21</v>
      </c>
      <c r="P179" s="2">
        <f>K179/N179</f>
        <v>15.148717948717948</v>
      </c>
    </row>
    <row r="180" spans="1:16" x14ac:dyDescent="0.2">
      <c r="A180">
        <v>31195</v>
      </c>
      <c r="B180" t="s">
        <v>321</v>
      </c>
      <c r="C180">
        <v>4975</v>
      </c>
      <c r="D180" t="s">
        <v>322</v>
      </c>
      <c r="E180" t="s">
        <v>25</v>
      </c>
      <c r="F180" t="s">
        <v>18</v>
      </c>
      <c r="G180" t="s">
        <v>18</v>
      </c>
      <c r="I180" t="s">
        <v>89</v>
      </c>
      <c r="J180">
        <v>47614</v>
      </c>
      <c r="K180">
        <v>12589</v>
      </c>
      <c r="L180">
        <v>34</v>
      </c>
      <c r="M180">
        <v>3873</v>
      </c>
      <c r="N180">
        <v>371</v>
      </c>
      <c r="O180">
        <v>21</v>
      </c>
      <c r="P180" s="2">
        <f>K180/N180</f>
        <v>33.932614555256066</v>
      </c>
    </row>
    <row r="181" spans="1:16" x14ac:dyDescent="0.2">
      <c r="A181">
        <v>31166</v>
      </c>
      <c r="B181" t="s">
        <v>267</v>
      </c>
      <c r="C181">
        <v>4976</v>
      </c>
      <c r="D181" t="s">
        <v>268</v>
      </c>
      <c r="E181" t="s">
        <v>25</v>
      </c>
      <c r="F181" t="s">
        <v>18</v>
      </c>
      <c r="G181" t="s">
        <v>18</v>
      </c>
      <c r="I181" t="s">
        <v>89</v>
      </c>
      <c r="J181">
        <v>30879</v>
      </c>
      <c r="K181">
        <v>8817</v>
      </c>
      <c r="L181">
        <v>34</v>
      </c>
      <c r="M181">
        <v>3091</v>
      </c>
      <c r="N181">
        <v>369</v>
      </c>
      <c r="O181">
        <v>21</v>
      </c>
      <c r="P181" s="2">
        <f>K181/N181</f>
        <v>23.894308943089431</v>
      </c>
    </row>
    <row r="182" spans="1:16" x14ac:dyDescent="0.2">
      <c r="A182">
        <v>29317</v>
      </c>
      <c r="B182" t="s">
        <v>27</v>
      </c>
      <c r="C182">
        <v>4978</v>
      </c>
      <c r="D182" t="s">
        <v>28</v>
      </c>
      <c r="E182" t="s">
        <v>25</v>
      </c>
      <c r="F182" t="s">
        <v>18</v>
      </c>
      <c r="G182" t="s">
        <v>18</v>
      </c>
      <c r="I182" t="s">
        <v>19</v>
      </c>
      <c r="J182">
        <v>1813</v>
      </c>
      <c r="K182">
        <v>511</v>
      </c>
      <c r="L182">
        <v>34</v>
      </c>
      <c r="M182">
        <v>58</v>
      </c>
      <c r="N182">
        <v>14</v>
      </c>
      <c r="O182">
        <v>19</v>
      </c>
      <c r="P182" s="2">
        <f>K182/N182</f>
        <v>36.5</v>
      </c>
    </row>
    <row r="183" spans="1:16" x14ac:dyDescent="0.2">
      <c r="A183">
        <v>29318</v>
      </c>
      <c r="B183" t="s">
        <v>29</v>
      </c>
      <c r="C183">
        <v>4979</v>
      </c>
      <c r="D183" t="s">
        <v>30</v>
      </c>
      <c r="E183" t="s">
        <v>25</v>
      </c>
      <c r="F183" t="s">
        <v>18</v>
      </c>
      <c r="G183" t="s">
        <v>18</v>
      </c>
      <c r="I183" t="s">
        <v>19</v>
      </c>
      <c r="J183">
        <v>548</v>
      </c>
      <c r="K183">
        <v>235</v>
      </c>
      <c r="L183">
        <v>34</v>
      </c>
      <c r="M183">
        <v>30</v>
      </c>
      <c r="N183">
        <v>11</v>
      </c>
      <c r="O183">
        <v>11</v>
      </c>
      <c r="P183" s="2">
        <f>K183/N183</f>
        <v>21.363636363636363</v>
      </c>
    </row>
    <row r="184" spans="1:16" x14ac:dyDescent="0.2">
      <c r="A184">
        <v>29320</v>
      </c>
      <c r="B184" t="s">
        <v>31</v>
      </c>
      <c r="C184">
        <v>4981</v>
      </c>
      <c r="D184" t="s">
        <v>32</v>
      </c>
      <c r="E184" t="s">
        <v>25</v>
      </c>
      <c r="F184" t="s">
        <v>18</v>
      </c>
      <c r="G184" t="s">
        <v>18</v>
      </c>
      <c r="I184" t="s">
        <v>33</v>
      </c>
      <c r="J184">
        <v>1432</v>
      </c>
      <c r="K184">
        <v>659</v>
      </c>
      <c r="L184">
        <v>34</v>
      </c>
      <c r="M184">
        <v>460</v>
      </c>
      <c r="N184">
        <v>76</v>
      </c>
      <c r="O184">
        <v>21</v>
      </c>
      <c r="P184" s="2">
        <f>K184/N184</f>
        <v>8.6710526315789469</v>
      </c>
    </row>
    <row r="185" spans="1:16" x14ac:dyDescent="0.2">
      <c r="A185">
        <v>29321</v>
      </c>
      <c r="B185" t="s">
        <v>34</v>
      </c>
      <c r="C185">
        <v>4982</v>
      </c>
      <c r="D185" t="s">
        <v>35</v>
      </c>
      <c r="E185" t="s">
        <v>25</v>
      </c>
      <c r="F185" t="s">
        <v>18</v>
      </c>
      <c r="G185" t="s">
        <v>18</v>
      </c>
      <c r="I185" t="s">
        <v>19</v>
      </c>
      <c r="J185">
        <v>480</v>
      </c>
      <c r="K185">
        <v>148</v>
      </c>
      <c r="L185">
        <v>34</v>
      </c>
      <c r="M185">
        <v>38</v>
      </c>
      <c r="N185">
        <v>10</v>
      </c>
      <c r="O185">
        <v>11</v>
      </c>
      <c r="P185" s="2">
        <f>K185/N185</f>
        <v>14.8</v>
      </c>
    </row>
    <row r="186" spans="1:16" x14ac:dyDescent="0.2">
      <c r="A186">
        <v>29322</v>
      </c>
      <c r="B186" t="s">
        <v>36</v>
      </c>
      <c r="C186">
        <v>4983</v>
      </c>
      <c r="D186" t="s">
        <v>37</v>
      </c>
      <c r="E186" t="s">
        <v>25</v>
      </c>
      <c r="F186" t="s">
        <v>18</v>
      </c>
      <c r="G186" t="s">
        <v>18</v>
      </c>
      <c r="I186" t="s">
        <v>19</v>
      </c>
      <c r="J186">
        <v>16373</v>
      </c>
      <c r="K186">
        <v>4066</v>
      </c>
      <c r="L186">
        <v>34</v>
      </c>
      <c r="M186">
        <v>1280</v>
      </c>
      <c r="N186">
        <v>224</v>
      </c>
      <c r="O186">
        <v>21</v>
      </c>
      <c r="P186" s="2">
        <f>K186/N186</f>
        <v>18.151785714285715</v>
      </c>
    </row>
    <row r="187" spans="1:16" x14ac:dyDescent="0.2">
      <c r="A187">
        <v>29324</v>
      </c>
      <c r="B187" t="s">
        <v>38</v>
      </c>
      <c r="C187">
        <v>4985</v>
      </c>
      <c r="D187" t="s">
        <v>39</v>
      </c>
      <c r="E187" t="s">
        <v>25</v>
      </c>
      <c r="F187" t="s">
        <v>18</v>
      </c>
      <c r="G187" t="s">
        <v>18</v>
      </c>
      <c r="I187" t="s">
        <v>19</v>
      </c>
      <c r="J187">
        <v>3148</v>
      </c>
      <c r="K187">
        <v>1291</v>
      </c>
      <c r="L187">
        <v>34</v>
      </c>
      <c r="M187">
        <v>636</v>
      </c>
      <c r="N187">
        <v>104</v>
      </c>
      <c r="O187">
        <v>21</v>
      </c>
      <c r="P187" s="2">
        <f>K187/N187</f>
        <v>12.413461538461538</v>
      </c>
    </row>
    <row r="188" spans="1:16" x14ac:dyDescent="0.2">
      <c r="A188">
        <v>29325</v>
      </c>
      <c r="B188" t="s">
        <v>40</v>
      </c>
      <c r="C188">
        <v>4986</v>
      </c>
      <c r="D188" t="s">
        <v>41</v>
      </c>
      <c r="E188" t="s">
        <v>25</v>
      </c>
      <c r="F188" t="s">
        <v>18</v>
      </c>
      <c r="G188" t="s">
        <v>18</v>
      </c>
      <c r="I188" t="s">
        <v>19</v>
      </c>
      <c r="J188">
        <v>4000</v>
      </c>
      <c r="K188">
        <v>1325</v>
      </c>
      <c r="L188">
        <v>34</v>
      </c>
      <c r="M188">
        <v>425</v>
      </c>
      <c r="N188">
        <v>86</v>
      </c>
      <c r="O188">
        <v>21</v>
      </c>
      <c r="P188" s="2">
        <f>K188/N188</f>
        <v>15.406976744186046</v>
      </c>
    </row>
    <row r="189" spans="1:16" x14ac:dyDescent="0.2">
      <c r="A189">
        <v>29326</v>
      </c>
      <c r="B189" t="s">
        <v>42</v>
      </c>
      <c r="C189">
        <v>4987</v>
      </c>
      <c r="D189" t="s">
        <v>43</v>
      </c>
      <c r="E189" t="s">
        <v>25</v>
      </c>
      <c r="F189" t="s">
        <v>18</v>
      </c>
      <c r="G189" t="s">
        <v>18</v>
      </c>
      <c r="I189" t="s">
        <v>19</v>
      </c>
      <c r="J189">
        <v>540</v>
      </c>
      <c r="K189">
        <v>67</v>
      </c>
      <c r="L189">
        <v>32</v>
      </c>
      <c r="M189">
        <v>9</v>
      </c>
      <c r="N189">
        <v>4</v>
      </c>
      <c r="O189">
        <v>7</v>
      </c>
      <c r="P189" s="2">
        <f>K189/N189</f>
        <v>16.75</v>
      </c>
    </row>
    <row r="190" spans="1:16" x14ac:dyDescent="0.2">
      <c r="A190">
        <v>29327</v>
      </c>
      <c r="B190" t="s">
        <v>44</v>
      </c>
      <c r="C190">
        <v>4988</v>
      </c>
      <c r="D190" t="s">
        <v>45</v>
      </c>
      <c r="E190" t="s">
        <v>25</v>
      </c>
      <c r="F190" t="s">
        <v>18</v>
      </c>
      <c r="G190" t="s">
        <v>18</v>
      </c>
      <c r="I190" t="s">
        <v>19</v>
      </c>
      <c r="J190">
        <v>434</v>
      </c>
      <c r="K190">
        <v>150</v>
      </c>
      <c r="L190">
        <v>27</v>
      </c>
      <c r="M190">
        <v>49</v>
      </c>
      <c r="N190">
        <v>10</v>
      </c>
      <c r="O190">
        <v>16</v>
      </c>
      <c r="P190" s="2">
        <f>K190/N190</f>
        <v>15</v>
      </c>
    </row>
    <row r="191" spans="1:16" x14ac:dyDescent="0.2">
      <c r="A191">
        <v>29328</v>
      </c>
      <c r="B191" t="s">
        <v>46</v>
      </c>
      <c r="C191">
        <v>4989</v>
      </c>
      <c r="D191" t="s">
        <v>47</v>
      </c>
      <c r="E191" t="s">
        <v>25</v>
      </c>
      <c r="F191" t="s">
        <v>18</v>
      </c>
      <c r="G191" t="s">
        <v>18</v>
      </c>
      <c r="I191" t="s">
        <v>19</v>
      </c>
      <c r="J191">
        <v>2980</v>
      </c>
      <c r="K191">
        <v>1093</v>
      </c>
      <c r="L191">
        <v>34</v>
      </c>
      <c r="M191">
        <v>467</v>
      </c>
      <c r="N191">
        <v>73</v>
      </c>
      <c r="O191">
        <v>21</v>
      </c>
      <c r="P191" s="2">
        <f>K191/N191</f>
        <v>14.972602739726028</v>
      </c>
    </row>
    <row r="192" spans="1:16" x14ac:dyDescent="0.2">
      <c r="A192">
        <v>29329</v>
      </c>
      <c r="B192" t="s">
        <v>48</v>
      </c>
      <c r="C192">
        <v>4990</v>
      </c>
      <c r="D192" t="s">
        <v>49</v>
      </c>
      <c r="E192" t="s">
        <v>25</v>
      </c>
      <c r="F192" t="s">
        <v>18</v>
      </c>
      <c r="G192" t="s">
        <v>18</v>
      </c>
      <c r="I192" t="s">
        <v>19</v>
      </c>
      <c r="J192">
        <v>286</v>
      </c>
      <c r="K192">
        <v>109</v>
      </c>
      <c r="L192">
        <v>32</v>
      </c>
      <c r="M192">
        <v>41</v>
      </c>
      <c r="N192">
        <v>10</v>
      </c>
      <c r="O192">
        <v>17</v>
      </c>
      <c r="P192" s="2">
        <f>K192/N192</f>
        <v>10.9</v>
      </c>
    </row>
    <row r="193" spans="1:16" x14ac:dyDescent="0.2">
      <c r="A193">
        <v>29330</v>
      </c>
      <c r="B193" t="s">
        <v>50</v>
      </c>
      <c r="C193">
        <v>4991</v>
      </c>
      <c r="D193" t="s">
        <v>51</v>
      </c>
      <c r="E193" t="s">
        <v>25</v>
      </c>
      <c r="F193" t="s">
        <v>18</v>
      </c>
      <c r="G193" t="s">
        <v>18</v>
      </c>
      <c r="I193" t="s">
        <v>19</v>
      </c>
      <c r="J193">
        <v>4711</v>
      </c>
      <c r="K193">
        <v>1795</v>
      </c>
      <c r="L193">
        <v>34</v>
      </c>
      <c r="M193">
        <v>934</v>
      </c>
      <c r="N193">
        <v>137</v>
      </c>
      <c r="O193">
        <v>21</v>
      </c>
      <c r="P193" s="2">
        <f>K193/N193</f>
        <v>13.102189781021897</v>
      </c>
    </row>
    <row r="194" spans="1:16" x14ac:dyDescent="0.2">
      <c r="A194">
        <v>29331</v>
      </c>
      <c r="B194" t="s">
        <v>52</v>
      </c>
      <c r="C194">
        <v>4992</v>
      </c>
      <c r="D194" t="s">
        <v>53</v>
      </c>
      <c r="E194" t="s">
        <v>25</v>
      </c>
      <c r="F194" t="s">
        <v>18</v>
      </c>
      <c r="G194" t="s">
        <v>18</v>
      </c>
      <c r="I194" t="s">
        <v>19</v>
      </c>
      <c r="J194">
        <v>402</v>
      </c>
      <c r="K194">
        <v>25</v>
      </c>
      <c r="L194">
        <v>24</v>
      </c>
      <c r="M194">
        <v>2</v>
      </c>
      <c r="N194">
        <v>2</v>
      </c>
      <c r="O194">
        <v>2</v>
      </c>
      <c r="P194" s="2">
        <f>K194/N194</f>
        <v>12.5</v>
      </c>
    </row>
    <row r="195" spans="1:16" x14ac:dyDescent="0.2">
      <c r="A195">
        <v>29332</v>
      </c>
      <c r="B195" t="s">
        <v>54</v>
      </c>
      <c r="C195">
        <v>4993</v>
      </c>
      <c r="D195" t="s">
        <v>55</v>
      </c>
      <c r="E195" t="s">
        <v>25</v>
      </c>
      <c r="F195" t="s">
        <v>18</v>
      </c>
      <c r="G195" t="s">
        <v>18</v>
      </c>
      <c r="I195" t="s">
        <v>19</v>
      </c>
      <c r="J195">
        <v>3047</v>
      </c>
      <c r="K195">
        <v>795</v>
      </c>
      <c r="L195">
        <v>34</v>
      </c>
      <c r="M195">
        <v>103</v>
      </c>
      <c r="N195">
        <v>38</v>
      </c>
      <c r="O195">
        <v>21</v>
      </c>
      <c r="P195" s="2">
        <f>K195/N195</f>
        <v>20.921052631578949</v>
      </c>
    </row>
  </sheetData>
  <autoFilter ref="A1:P196" xr:uid="{00000000-0001-0000-0000-000000000000}">
    <sortState xmlns:xlrd2="http://schemas.microsoft.com/office/spreadsheetml/2017/richdata2" ref="A2:P195">
      <sortCondition descending="1" ref="H1:H19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</dc:creator>
  <cp:lastModifiedBy>Matthias Plattner</cp:lastModifiedBy>
  <dcterms:created xsi:type="dcterms:W3CDTF">2025-06-11T06:26:35Z</dcterms:created>
  <dcterms:modified xsi:type="dcterms:W3CDTF">2025-07-08T12:48:39Z</dcterms:modified>
</cp:coreProperties>
</file>